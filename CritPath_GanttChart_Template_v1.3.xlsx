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iji\projects\excel-gantt-critical-path\"/>
    </mc:Choice>
  </mc:AlternateContent>
  <xr:revisionPtr revIDLastSave="0" documentId="13_ncr:1_{B313486F-2E19-4A35-B303-61F1C3634DBA}" xr6:coauthVersionLast="47" xr6:coauthVersionMax="47" xr10:uidLastSave="{00000000-0000-0000-0000-000000000000}"/>
  <bookViews>
    <workbookView xWindow="-110" yWindow="-110" windowWidth="25820" windowHeight="13900" xr2:uid="{8DC6E374-7269-49C6-81EA-7974F74BE503}"/>
  </bookViews>
  <sheets>
    <sheet name="README" sheetId="2" r:id="rId1"/>
    <sheet name="Planning Assumptions" sheetId="3" r:id="rId2"/>
    <sheet name="Workplan" sheetId="1" r:id="rId3"/>
    <sheet name="Python Formulas In WorkplanTab" sheetId="4" r:id="rId4"/>
  </sheets>
  <definedNames>
    <definedName name="ProjectTable">Workplan!$A$2:$M$102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 a="1"/>
  <c r="P2" i="1" s="1" a="1"/>
  <c r="Q2" i="1" s="1" a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AA1" i="1" l="1"/>
  <c r="CL2" i="1" a="1"/>
  <c r="A1" i="1" s="1"/>
  <c r="AA19" i="1" l="1"/>
  <c r="AA5" i="1"/>
  <c r="AA14" i="1"/>
  <c r="AA20" i="1"/>
  <c r="AA41" i="1"/>
  <c r="AA7" i="1"/>
  <c r="AA36" i="1"/>
  <c r="AA26" i="1"/>
  <c r="AA11" i="1"/>
  <c r="AA3" i="1"/>
  <c r="AA23" i="1"/>
  <c r="AA30" i="1"/>
  <c r="AA15" i="1"/>
  <c r="AA28" i="1"/>
  <c r="AA17" i="1"/>
  <c r="AA24" i="1"/>
  <c r="AA8" i="1"/>
  <c r="AA29" i="1"/>
  <c r="AA25" i="1"/>
  <c r="AA42" i="1"/>
  <c r="AA21" i="1"/>
  <c r="AA34" i="1"/>
  <c r="AA13" i="1"/>
  <c r="AA27" i="1"/>
  <c r="AA33" i="1"/>
  <c r="AA40" i="1"/>
  <c r="AA22" i="1"/>
  <c r="AB1" i="1"/>
  <c r="AB9" i="1" s="1"/>
  <c r="AA9" i="1"/>
  <c r="AA4" i="1"/>
  <c r="AA18" i="1"/>
  <c r="AA32" i="1"/>
  <c r="AA35" i="1"/>
  <c r="AA38" i="1"/>
  <c r="AA10" i="1"/>
  <c r="AA6" i="1"/>
  <c r="AA31" i="1"/>
  <c r="AA16" i="1"/>
  <c r="AA39" i="1"/>
  <c r="AA12" i="1"/>
  <c r="AA37" i="1"/>
  <c r="AB24" i="1" l="1"/>
  <c r="AB36" i="1"/>
  <c r="AB32" i="1"/>
  <c r="AC1" i="1"/>
  <c r="AC40" i="1" s="1"/>
  <c r="AB14" i="1"/>
  <c r="AB33" i="1"/>
  <c r="AB4" i="1"/>
  <c r="AB30" i="1"/>
  <c r="AB12" i="1"/>
  <c r="AB31" i="1"/>
  <c r="AB10" i="1"/>
  <c r="AB28" i="1"/>
  <c r="AB19" i="1"/>
  <c r="AB13" i="1"/>
  <c r="AB27" i="1"/>
  <c r="AB21" i="1"/>
  <c r="AB25" i="1"/>
  <c r="AB15" i="1"/>
  <c r="AB5" i="1"/>
  <c r="AB6" i="1"/>
  <c r="AB22" i="1"/>
  <c r="AB39" i="1"/>
  <c r="AB38" i="1"/>
  <c r="AB17" i="1"/>
  <c r="AB8" i="1"/>
  <c r="AB16" i="1"/>
  <c r="AB26" i="1"/>
  <c r="AB41" i="1"/>
  <c r="AB40" i="1"/>
  <c r="AB42" i="1"/>
  <c r="AB29" i="1"/>
  <c r="AB7" i="1"/>
  <c r="AB11" i="1"/>
  <c r="AB3" i="1"/>
  <c r="AB18" i="1"/>
  <c r="AB35" i="1"/>
  <c r="AB23" i="1"/>
  <c r="AB34" i="1"/>
  <c r="AB37" i="1"/>
  <c r="AB20" i="1"/>
  <c r="AC30" i="1" l="1"/>
  <c r="AC31" i="1"/>
  <c r="AC7" i="1"/>
  <c r="AC15" i="1"/>
  <c r="AC8" i="1"/>
  <c r="AC4" i="1"/>
  <c r="AC22" i="1"/>
  <c r="AC28" i="1"/>
  <c r="AC32" i="1"/>
  <c r="AC35" i="1"/>
  <c r="AC25" i="1"/>
  <c r="AC17" i="1"/>
  <c r="AC23" i="1"/>
  <c r="AC13" i="1"/>
  <c r="AC19" i="1"/>
  <c r="AC34" i="1"/>
  <c r="AC16" i="1"/>
  <c r="AC29" i="1"/>
  <c r="AC39" i="1"/>
  <c r="AC26" i="1"/>
  <c r="AC9" i="1"/>
  <c r="AC18" i="1"/>
  <c r="AC24" i="1"/>
  <c r="AC11" i="1"/>
  <c r="AC37" i="1"/>
  <c r="AC42" i="1"/>
  <c r="AC14" i="1"/>
  <c r="AC41" i="1"/>
  <c r="AC36" i="1"/>
  <c r="AD1" i="1"/>
  <c r="AC12" i="1"/>
  <c r="AC10" i="1"/>
  <c r="AC33" i="1"/>
  <c r="AC6" i="1"/>
  <c r="AC20" i="1"/>
  <c r="AC5" i="1"/>
  <c r="AC27" i="1"/>
  <c r="AC38" i="1"/>
  <c r="AC21" i="1"/>
  <c r="AC3" i="1"/>
  <c r="AD9" i="1" l="1"/>
  <c r="AD12" i="1"/>
  <c r="AD23" i="1"/>
  <c r="AD26" i="1"/>
  <c r="AD15" i="1"/>
  <c r="AD38" i="1"/>
  <c r="AD32" i="1"/>
  <c r="AD41" i="1"/>
  <c r="AD25" i="1"/>
  <c r="AD35" i="1"/>
  <c r="AD18" i="1"/>
  <c r="AD36" i="1"/>
  <c r="AE1" i="1"/>
  <c r="AD13" i="1"/>
  <c r="AD31" i="1"/>
  <c r="AD4" i="1"/>
  <c r="AD7" i="1"/>
  <c r="AD40" i="1"/>
  <c r="AD34" i="1"/>
  <c r="AD42" i="1"/>
  <c r="AD37" i="1"/>
  <c r="AD19" i="1"/>
  <c r="AD33" i="1"/>
  <c r="AD20" i="1"/>
  <c r="AD28" i="1"/>
  <c r="AD21" i="1"/>
  <c r="AD22" i="1"/>
  <c r="AD24" i="1"/>
  <c r="AD14" i="1"/>
  <c r="AD8" i="1"/>
  <c r="AD17" i="1"/>
  <c r="AD11" i="1"/>
  <c r="AD16" i="1"/>
  <c r="AD39" i="1"/>
  <c r="AD3" i="1"/>
  <c r="AD6" i="1"/>
  <c r="AD30" i="1"/>
  <c r="AD29" i="1"/>
  <c r="AD10" i="1"/>
  <c r="AD5" i="1"/>
  <c r="AD27" i="1"/>
  <c r="AE21" i="1" l="1"/>
  <c r="AE20" i="1"/>
  <c r="AE8" i="1"/>
  <c r="AE15" i="1"/>
  <c r="AE4" i="1"/>
  <c r="AE33" i="1"/>
  <c r="AE24" i="1"/>
  <c r="AE37" i="1"/>
  <c r="AE29" i="1"/>
  <c r="AE39" i="1"/>
  <c r="AE30" i="1"/>
  <c r="AE38" i="1"/>
  <c r="AE6" i="1"/>
  <c r="AE12" i="1"/>
  <c r="AE40" i="1"/>
  <c r="AE22" i="1"/>
  <c r="AE7" i="1"/>
  <c r="AE28" i="1"/>
  <c r="AE19" i="1"/>
  <c r="AE35" i="1"/>
  <c r="AE31" i="1"/>
  <c r="AE26" i="1"/>
  <c r="AE17" i="1"/>
  <c r="AE34" i="1"/>
  <c r="AE23" i="1"/>
  <c r="AE36" i="1"/>
  <c r="AE5" i="1"/>
  <c r="AE18" i="1"/>
  <c r="AF1" i="1"/>
  <c r="AE41" i="1"/>
  <c r="AE14" i="1"/>
  <c r="AE32" i="1"/>
  <c r="AE11" i="1"/>
  <c r="AE10" i="1"/>
  <c r="AE3" i="1"/>
  <c r="AE25" i="1"/>
  <c r="AE27" i="1"/>
  <c r="AE16" i="1"/>
  <c r="AE13" i="1"/>
  <c r="AE9" i="1"/>
  <c r="AE42" i="1"/>
  <c r="AF6" i="1" l="1"/>
  <c r="AF7" i="1"/>
  <c r="AF23" i="1"/>
  <c r="AF10" i="1"/>
  <c r="AF3" i="1"/>
  <c r="AF13" i="1"/>
  <c r="AF31" i="1"/>
  <c r="AG1" i="1"/>
  <c r="AF21" i="1"/>
  <c r="AF35" i="1"/>
  <c r="AF39" i="1"/>
  <c r="AF12" i="1"/>
  <c r="AF40" i="1"/>
  <c r="AF5" i="1"/>
  <c r="AF34" i="1"/>
  <c r="AF27" i="1"/>
  <c r="AF41" i="1"/>
  <c r="AF9" i="1"/>
  <c r="AF20" i="1"/>
  <c r="AF15" i="1"/>
  <c r="AF42" i="1"/>
  <c r="AF32" i="1"/>
  <c r="AF24" i="1"/>
  <c r="AF14" i="1"/>
  <c r="AF25" i="1"/>
  <c r="AF18" i="1"/>
  <c r="AF19" i="1"/>
  <c r="AF17" i="1"/>
  <c r="AF26" i="1"/>
  <c r="AF8" i="1"/>
  <c r="AF22" i="1"/>
  <c r="AF33" i="1"/>
  <c r="AF4" i="1"/>
  <c r="AF29" i="1"/>
  <c r="AF37" i="1"/>
  <c r="AF30" i="1"/>
  <c r="AF36" i="1"/>
  <c r="AF38" i="1"/>
  <c r="AF28" i="1"/>
  <c r="AF16" i="1"/>
  <c r="AF11" i="1"/>
  <c r="AG12" i="1" l="1"/>
  <c r="AG9" i="1"/>
  <c r="AG42" i="1"/>
  <c r="AG14" i="1"/>
  <c r="AG7" i="1"/>
  <c r="AG39" i="1"/>
  <c r="AG38" i="1"/>
  <c r="AG35" i="1"/>
  <c r="AG23" i="1"/>
  <c r="AG3" i="1"/>
  <c r="AG19" i="1"/>
  <c r="AG33" i="1"/>
  <c r="AG37" i="1"/>
  <c r="AG26" i="1"/>
  <c r="AG5" i="1"/>
  <c r="AG18" i="1"/>
  <c r="AG15" i="1"/>
  <c r="AG21" i="1"/>
  <c r="AG16" i="1"/>
  <c r="AG31" i="1"/>
  <c r="AG24" i="1"/>
  <c r="AG22" i="1"/>
  <c r="AG40" i="1"/>
  <c r="AG29" i="1"/>
  <c r="AG8" i="1"/>
  <c r="AG17" i="1"/>
  <c r="AG27" i="1"/>
  <c r="AG36" i="1"/>
  <c r="AH1" i="1"/>
  <c r="AG11" i="1"/>
  <c r="AG4" i="1"/>
  <c r="AG30" i="1"/>
  <c r="AG34" i="1"/>
  <c r="AG10" i="1"/>
  <c r="AG13" i="1"/>
  <c r="AG25" i="1"/>
  <c r="AG32" i="1"/>
  <c r="AG28" i="1"/>
  <c r="AG41" i="1"/>
  <c r="AG20" i="1"/>
  <c r="AG6" i="1"/>
  <c r="AH23" i="1" l="1"/>
  <c r="AH22" i="1"/>
  <c r="AH4" i="1"/>
  <c r="AH15" i="1"/>
  <c r="AH29" i="1"/>
  <c r="AH32" i="1"/>
  <c r="AH20" i="1"/>
  <c r="AH37" i="1"/>
  <c r="AH5" i="1"/>
  <c r="AH13" i="1"/>
  <c r="AH10" i="1"/>
  <c r="AH33" i="1"/>
  <c r="AH39" i="1"/>
  <c r="AH42" i="1"/>
  <c r="AH41" i="1"/>
  <c r="AH19" i="1"/>
  <c r="AH25" i="1"/>
  <c r="AH3" i="1"/>
  <c r="AH40" i="1"/>
  <c r="AH27" i="1"/>
  <c r="AH30" i="1"/>
  <c r="AH12" i="1"/>
  <c r="AH6" i="1"/>
  <c r="AH14" i="1"/>
  <c r="AH16" i="1"/>
  <c r="AH7" i="1"/>
  <c r="AH24" i="1"/>
  <c r="AI1" i="1"/>
  <c r="AH36" i="1"/>
  <c r="AH9" i="1"/>
  <c r="AH8" i="1"/>
  <c r="AH34" i="1"/>
  <c r="AH17" i="1"/>
  <c r="AH28" i="1"/>
  <c r="AH21" i="1"/>
  <c r="AH35" i="1"/>
  <c r="AH26" i="1"/>
  <c r="AH11" i="1"/>
  <c r="AH18" i="1"/>
  <c r="AH31" i="1"/>
  <c r="AH38" i="1"/>
  <c r="AI42" i="1" l="1"/>
  <c r="AI25" i="1"/>
  <c r="AI12" i="1"/>
  <c r="AI23" i="1"/>
  <c r="AI26" i="1"/>
  <c r="AI22" i="1"/>
  <c r="AI39" i="1"/>
  <c r="AI36" i="1"/>
  <c r="AI18" i="1"/>
  <c r="AI14" i="1"/>
  <c r="AI21" i="1"/>
  <c r="AI4" i="1"/>
  <c r="AI34" i="1"/>
  <c r="AI15" i="1"/>
  <c r="AI32" i="1"/>
  <c r="AI33" i="1"/>
  <c r="AI40" i="1"/>
  <c r="AI20" i="1"/>
  <c r="AI10" i="1"/>
  <c r="AI7" i="1"/>
  <c r="AI13" i="1"/>
  <c r="AI8" i="1"/>
  <c r="AI38" i="1"/>
  <c r="AI16" i="1"/>
  <c r="AI41" i="1"/>
  <c r="AJ1" i="1"/>
  <c r="AI37" i="1"/>
  <c r="AI19" i="1"/>
  <c r="AI29" i="1"/>
  <c r="AI30" i="1"/>
  <c r="AI9" i="1"/>
  <c r="AI35" i="1"/>
  <c r="AI28" i="1"/>
  <c r="AI27" i="1"/>
  <c r="AI3" i="1"/>
  <c r="AI24" i="1"/>
  <c r="AI6" i="1"/>
  <c r="AI5" i="1"/>
  <c r="AI31" i="1"/>
  <c r="AI17" i="1"/>
  <c r="AI11" i="1"/>
  <c r="AJ35" i="1" l="1"/>
  <c r="AJ7" i="1"/>
  <c r="AJ10" i="1"/>
  <c r="AJ20" i="1"/>
  <c r="AJ6" i="1"/>
  <c r="AJ42" i="1"/>
  <c r="AJ12" i="1"/>
  <c r="AJ22" i="1"/>
  <c r="AJ32" i="1"/>
  <c r="AJ15" i="1"/>
  <c r="AJ16" i="1"/>
  <c r="AJ14" i="1"/>
  <c r="AJ36" i="1"/>
  <c r="AJ11" i="1"/>
  <c r="AJ25" i="1"/>
  <c r="AJ38" i="1"/>
  <c r="AJ31" i="1"/>
  <c r="AJ8" i="1"/>
  <c r="AJ13" i="1"/>
  <c r="AJ29" i="1"/>
  <c r="AJ23" i="1"/>
  <c r="AJ34" i="1"/>
  <c r="AJ27" i="1"/>
  <c r="AJ19" i="1"/>
  <c r="AJ4" i="1"/>
  <c r="AJ5" i="1"/>
  <c r="AJ24" i="1"/>
  <c r="AJ30" i="1"/>
  <c r="AJ40" i="1"/>
  <c r="AJ3" i="1"/>
  <c r="AJ28" i="1"/>
  <c r="AJ9" i="1"/>
  <c r="AJ33" i="1"/>
  <c r="AJ37" i="1"/>
  <c r="AJ41" i="1"/>
  <c r="AK1" i="1"/>
  <c r="AJ21" i="1"/>
  <c r="AJ18" i="1"/>
  <c r="AJ39" i="1"/>
  <c r="AJ26" i="1"/>
  <c r="AJ17" i="1"/>
  <c r="AK17" i="1" l="1"/>
  <c r="AK38" i="1"/>
  <c r="AK3" i="1"/>
  <c r="AK33" i="1"/>
  <c r="AK19" i="1"/>
  <c r="AK20" i="1"/>
  <c r="AK26" i="1"/>
  <c r="AK42" i="1"/>
  <c r="AK39" i="1"/>
  <c r="AK24" i="1"/>
  <c r="AK12" i="1"/>
  <c r="AK41" i="1"/>
  <c r="AK34" i="1"/>
  <c r="AK37" i="1"/>
  <c r="AK18" i="1"/>
  <c r="AK8" i="1"/>
  <c r="AK10" i="1"/>
  <c r="AK6" i="1"/>
  <c r="AK11" i="1"/>
  <c r="AK36" i="1"/>
  <c r="AK15" i="1"/>
  <c r="AK30" i="1"/>
  <c r="AK32" i="1"/>
  <c r="AK28" i="1"/>
  <c r="AK22" i="1"/>
  <c r="AK5" i="1"/>
  <c r="AK27" i="1"/>
  <c r="AK14" i="1"/>
  <c r="AK40" i="1"/>
  <c r="AK31" i="1"/>
  <c r="AK16" i="1"/>
  <c r="AK21" i="1"/>
  <c r="AK23" i="1"/>
  <c r="AK4" i="1"/>
  <c r="AK7" i="1"/>
  <c r="AK13" i="1"/>
  <c r="AK9" i="1"/>
  <c r="AL1" i="1"/>
  <c r="AL26" i="1" s="1"/>
  <c r="AK29" i="1"/>
  <c r="AK25" i="1"/>
  <c r="AK35" i="1"/>
  <c r="AL38" i="1" l="1"/>
  <c r="AL3" i="1"/>
  <c r="AL11" i="1"/>
  <c r="AL40" i="1"/>
  <c r="AL22" i="1"/>
  <c r="AL39" i="1"/>
  <c r="AL35" i="1"/>
  <c r="AL42" i="1"/>
  <c r="AL19" i="1"/>
  <c r="AL17" i="1"/>
  <c r="AL7" i="1"/>
  <c r="AL13" i="1"/>
  <c r="AL14" i="1"/>
  <c r="AL23" i="1"/>
  <c r="AL20" i="1"/>
  <c r="AL5" i="1"/>
  <c r="AL32" i="1"/>
  <c r="AL9" i="1"/>
  <c r="AL28" i="1"/>
  <c r="AL36" i="1"/>
  <c r="AL15" i="1"/>
  <c r="AL31" i="1"/>
  <c r="AL37" i="1"/>
  <c r="AL34" i="1"/>
  <c r="AL30" i="1"/>
  <c r="AL27" i="1"/>
  <c r="AL6" i="1"/>
  <c r="AL41" i="1"/>
  <c r="AL21" i="1"/>
  <c r="AL16" i="1"/>
  <c r="AL29" i="1"/>
  <c r="AL33" i="1"/>
  <c r="AL8" i="1"/>
  <c r="AL24" i="1"/>
  <c r="AM1" i="1"/>
  <c r="AL25" i="1"/>
  <c r="AL4" i="1"/>
  <c r="AL10" i="1"/>
  <c r="AL18" i="1"/>
  <c r="AL12" i="1"/>
  <c r="AM16" i="1" l="1"/>
  <c r="AM13" i="1"/>
  <c r="AM20" i="1"/>
  <c r="AM36" i="1"/>
  <c r="AM29" i="1"/>
  <c r="AM11" i="1"/>
  <c r="AM32" i="1"/>
  <c r="AM35" i="1"/>
  <c r="AM33" i="1"/>
  <c r="AM15" i="1"/>
  <c r="AM9" i="1"/>
  <c r="AM21" i="1"/>
  <c r="AM34" i="1"/>
  <c r="AM27" i="1"/>
  <c r="AM5" i="1"/>
  <c r="AM6" i="1"/>
  <c r="AM41" i="1"/>
  <c r="AM25" i="1"/>
  <c r="AM30" i="1"/>
  <c r="AM4" i="1"/>
  <c r="AM22" i="1"/>
  <c r="AM42" i="1"/>
  <c r="AM24" i="1"/>
  <c r="AM40" i="1"/>
  <c r="AM26" i="1"/>
  <c r="AM18" i="1"/>
  <c r="AM3" i="1"/>
  <c r="AM14" i="1"/>
  <c r="AM19" i="1"/>
  <c r="AM28" i="1"/>
  <c r="AM38" i="1"/>
  <c r="AM17" i="1"/>
  <c r="AN1" i="1"/>
  <c r="AM10" i="1"/>
  <c r="AM12" i="1"/>
  <c r="AM39" i="1"/>
  <c r="AM7" i="1"/>
  <c r="AM23" i="1"/>
  <c r="AM37" i="1"/>
  <c r="AM31" i="1"/>
  <c r="AM8" i="1"/>
  <c r="AN35" i="1" l="1"/>
  <c r="AN20" i="1"/>
  <c r="AN24" i="1"/>
  <c r="AN12" i="1"/>
  <c r="AN18" i="1"/>
  <c r="AN25" i="1"/>
  <c r="AN22" i="1"/>
  <c r="AN8" i="1"/>
  <c r="AN13" i="1"/>
  <c r="AN31" i="1"/>
  <c r="AN3" i="1"/>
  <c r="AN21" i="1"/>
  <c r="AN16" i="1"/>
  <c r="AN19" i="1"/>
  <c r="AN32" i="1"/>
  <c r="AN6" i="1"/>
  <c r="AN10" i="1"/>
  <c r="AN37" i="1"/>
  <c r="AN40" i="1"/>
  <c r="AN30" i="1"/>
  <c r="AN15" i="1"/>
  <c r="AN36" i="1"/>
  <c r="AN26" i="1"/>
  <c r="AN38" i="1"/>
  <c r="AN33" i="1"/>
  <c r="AN7" i="1"/>
  <c r="AN27" i="1"/>
  <c r="AN42" i="1"/>
  <c r="AN5" i="1"/>
  <c r="AN28" i="1"/>
  <c r="AN4" i="1"/>
  <c r="AO1" i="1"/>
  <c r="AN34" i="1"/>
  <c r="AN39" i="1"/>
  <c r="AN17" i="1"/>
  <c r="AN29" i="1"/>
  <c r="AN14" i="1"/>
  <c r="AN23" i="1"/>
  <c r="AN41" i="1"/>
  <c r="AN9" i="1"/>
  <c r="AN11" i="1"/>
  <c r="AO37" i="1" l="1"/>
  <c r="AO6" i="1"/>
  <c r="AO24" i="1"/>
  <c r="AO27" i="1"/>
  <c r="AO3" i="1"/>
  <c r="AO4" i="1"/>
  <c r="AO12" i="1"/>
  <c r="AO18" i="1"/>
  <c r="AO23" i="1"/>
  <c r="AO16" i="1"/>
  <c r="AO11" i="1"/>
  <c r="AO21" i="1"/>
  <c r="AO17" i="1"/>
  <c r="AO20" i="1"/>
  <c r="AO26" i="1"/>
  <c r="AO32" i="1"/>
  <c r="AO42" i="1"/>
  <c r="AO31" i="1"/>
  <c r="AO35" i="1"/>
  <c r="AO13" i="1"/>
  <c r="AO39" i="1"/>
  <c r="AO38" i="1"/>
  <c r="AO14" i="1"/>
  <c r="AO25" i="1"/>
  <c r="AO15" i="1"/>
  <c r="AO8" i="1"/>
  <c r="AO9" i="1"/>
  <c r="AO7" i="1"/>
  <c r="AO22" i="1"/>
  <c r="AO29" i="1"/>
  <c r="AO36" i="1"/>
  <c r="AP1" i="1"/>
  <c r="AO28" i="1"/>
  <c r="AO5" i="1"/>
  <c r="AO34" i="1"/>
  <c r="AO33" i="1"/>
  <c r="AO10" i="1"/>
  <c r="AO19" i="1"/>
  <c r="AO41" i="1"/>
  <c r="AO30" i="1"/>
  <c r="AO40" i="1"/>
  <c r="AP42" i="1" l="1"/>
  <c r="AP8" i="1"/>
  <c r="AP25" i="1"/>
  <c r="AP26" i="1"/>
  <c r="AP36" i="1"/>
  <c r="AP41" i="1"/>
  <c r="AP13" i="1"/>
  <c r="AP29" i="1"/>
  <c r="AP15" i="1"/>
  <c r="AP17" i="1"/>
  <c r="AP37" i="1"/>
  <c r="AP23" i="1"/>
  <c r="AP16" i="1"/>
  <c r="AQ1" i="1"/>
  <c r="AP12" i="1"/>
  <c r="AP10" i="1"/>
  <c r="AP7" i="1"/>
  <c r="AP32" i="1"/>
  <c r="AP27" i="1"/>
  <c r="AP6" i="1"/>
  <c r="AP39" i="1"/>
  <c r="AP38" i="1"/>
  <c r="AP31" i="1"/>
  <c r="AP11" i="1"/>
  <c r="AP24" i="1"/>
  <c r="AP9" i="1"/>
  <c r="AP35" i="1"/>
  <c r="AP30" i="1"/>
  <c r="AP40" i="1"/>
  <c r="AP19" i="1"/>
  <c r="AP21" i="1"/>
  <c r="AP28" i="1"/>
  <c r="AP18" i="1"/>
  <c r="AP5" i="1"/>
  <c r="AP34" i="1"/>
  <c r="AP4" i="1"/>
  <c r="AP20" i="1"/>
  <c r="AP3" i="1"/>
  <c r="AP22" i="1"/>
  <c r="AP14" i="1"/>
  <c r="AP33" i="1"/>
  <c r="AQ34" i="1" l="1"/>
  <c r="AQ10" i="1"/>
  <c r="AQ6" i="1"/>
  <c r="AQ25" i="1"/>
  <c r="AQ27" i="1"/>
  <c r="AQ22" i="1"/>
  <c r="AQ13" i="1"/>
  <c r="AQ23" i="1"/>
  <c r="AQ20" i="1"/>
  <c r="AQ32" i="1"/>
  <c r="AQ15" i="1"/>
  <c r="AQ36" i="1"/>
  <c r="AQ24" i="1"/>
  <c r="AQ8" i="1"/>
  <c r="AQ26" i="1"/>
  <c r="AQ14" i="1"/>
  <c r="AQ29" i="1"/>
  <c r="AQ41" i="1"/>
  <c r="AQ11" i="1"/>
  <c r="AQ28" i="1"/>
  <c r="AQ4" i="1"/>
  <c r="AQ5" i="1"/>
  <c r="AQ31" i="1"/>
  <c r="AQ42" i="1"/>
  <c r="AQ40" i="1"/>
  <c r="AQ16" i="1"/>
  <c r="AQ37" i="1"/>
  <c r="AQ35" i="1"/>
  <c r="AQ3" i="1"/>
  <c r="AQ21" i="1"/>
  <c r="AQ18" i="1"/>
  <c r="AQ12" i="1"/>
  <c r="AQ39" i="1"/>
  <c r="AQ19" i="1"/>
  <c r="AQ7" i="1"/>
  <c r="AR1" i="1"/>
  <c r="AQ9" i="1"/>
  <c r="AQ17" i="1"/>
  <c r="AQ33" i="1"/>
  <c r="AQ38" i="1"/>
  <c r="AQ30" i="1"/>
  <c r="AR41" i="1" l="1"/>
  <c r="AR6" i="1"/>
  <c r="AR30" i="1"/>
  <c r="AR42" i="1"/>
  <c r="AS1" i="1"/>
  <c r="AR23" i="1"/>
  <c r="AR32" i="1"/>
  <c r="AR28" i="1"/>
  <c r="AR36" i="1"/>
  <c r="AR11" i="1"/>
  <c r="AR26" i="1"/>
  <c r="AR34" i="1"/>
  <c r="AR16" i="1"/>
  <c r="AR17" i="1"/>
  <c r="AR5" i="1"/>
  <c r="AR39" i="1"/>
  <c r="AR38" i="1"/>
  <c r="AR13" i="1"/>
  <c r="AR9" i="1"/>
  <c r="AR21" i="1"/>
  <c r="AR7" i="1"/>
  <c r="AR35" i="1"/>
  <c r="AR22" i="1"/>
  <c r="AR4" i="1"/>
  <c r="AR29" i="1"/>
  <c r="AR20" i="1"/>
  <c r="AR33" i="1"/>
  <c r="AR27" i="1"/>
  <c r="AR37" i="1"/>
  <c r="AR25" i="1"/>
  <c r="AR8" i="1"/>
  <c r="AR10" i="1"/>
  <c r="AR24" i="1"/>
  <c r="AR40" i="1"/>
  <c r="AR12" i="1"/>
  <c r="AR3" i="1"/>
  <c r="AR14" i="1"/>
  <c r="AR18" i="1"/>
  <c r="AR31" i="1"/>
  <c r="AR15" i="1"/>
  <c r="AR19" i="1"/>
  <c r="AS10" i="1" l="1"/>
  <c r="AS20" i="1"/>
  <c r="AS28" i="1"/>
  <c r="AS32" i="1"/>
  <c r="AS13" i="1"/>
  <c r="AS8" i="1"/>
  <c r="AS14" i="1"/>
  <c r="AS33" i="1"/>
  <c r="AS18" i="1"/>
  <c r="AS24" i="1"/>
  <c r="AS40" i="1"/>
  <c r="AS30" i="1"/>
  <c r="AS19" i="1"/>
  <c r="AS21" i="1"/>
  <c r="AS29" i="1"/>
  <c r="AS41" i="1"/>
  <c r="AS5" i="1"/>
  <c r="AS26" i="1"/>
  <c r="AT1" i="1"/>
  <c r="AS4" i="1"/>
  <c r="AS34" i="1"/>
  <c r="AS25" i="1"/>
  <c r="AS42" i="1"/>
  <c r="AS12" i="1"/>
  <c r="AS36" i="1"/>
  <c r="AS9" i="1"/>
  <c r="AS31" i="1"/>
  <c r="AS6" i="1"/>
  <c r="AS22" i="1"/>
  <c r="AS37" i="1"/>
  <c r="AS27" i="1"/>
  <c r="AS16" i="1"/>
  <c r="AS15" i="1"/>
  <c r="AS11" i="1"/>
  <c r="AS38" i="1"/>
  <c r="AS7" i="1"/>
  <c r="AS3" i="1"/>
  <c r="AS39" i="1"/>
  <c r="AS35" i="1"/>
  <c r="AS23" i="1"/>
  <c r="AS17" i="1"/>
  <c r="AT12" i="1" l="1"/>
  <c r="AT38" i="1"/>
  <c r="AT16" i="1"/>
  <c r="AT27" i="1"/>
  <c r="AT14" i="1"/>
  <c r="AT5" i="1"/>
  <c r="AT30" i="1"/>
  <c r="AT39" i="1"/>
  <c r="AT36" i="1"/>
  <c r="AT28" i="1"/>
  <c r="AT10" i="1"/>
  <c r="AT20" i="1"/>
  <c r="AT37" i="1"/>
  <c r="AU1" i="1"/>
  <c r="AT33" i="1"/>
  <c r="AT31" i="1"/>
  <c r="AT26" i="1"/>
  <c r="AT35" i="1"/>
  <c r="AT24" i="1"/>
  <c r="AT4" i="1"/>
  <c r="AT23" i="1"/>
  <c r="AT41" i="1"/>
  <c r="AT18" i="1"/>
  <c r="AT29" i="1"/>
  <c r="AT22" i="1"/>
  <c r="AT13" i="1"/>
  <c r="AT17" i="1"/>
  <c r="AT40" i="1"/>
  <c r="AT7" i="1"/>
  <c r="AT8" i="1"/>
  <c r="AT11" i="1"/>
  <c r="AT32" i="1"/>
  <c r="AT34" i="1"/>
  <c r="AT15" i="1"/>
  <c r="AT25" i="1"/>
  <c r="AT9" i="1"/>
  <c r="AT3" i="1"/>
  <c r="AT19" i="1"/>
  <c r="AT42" i="1"/>
  <c r="AT21" i="1"/>
  <c r="AT6" i="1"/>
  <c r="AU29" i="1" l="1"/>
  <c r="AU9" i="1"/>
  <c r="AU34" i="1"/>
  <c r="AU12" i="1"/>
  <c r="AU10" i="1"/>
  <c r="AU7" i="1"/>
  <c r="AU24" i="1"/>
  <c r="AU39" i="1"/>
  <c r="AU26" i="1"/>
  <c r="AU35" i="1"/>
  <c r="AU31" i="1"/>
  <c r="AU32" i="1"/>
  <c r="AU38" i="1"/>
  <c r="AU41" i="1"/>
  <c r="AU23" i="1"/>
  <c r="AU40" i="1"/>
  <c r="AU18" i="1"/>
  <c r="AU8" i="1"/>
  <c r="AU20" i="1"/>
  <c r="AU4" i="1"/>
  <c r="AU17" i="1"/>
  <c r="AU16" i="1"/>
  <c r="AU21" i="1"/>
  <c r="AU30" i="1"/>
  <c r="AU13" i="1"/>
  <c r="AU11" i="1"/>
  <c r="AU6" i="1"/>
  <c r="AU22" i="1"/>
  <c r="AU28" i="1"/>
  <c r="AU15" i="1"/>
  <c r="AU25" i="1"/>
  <c r="AU14" i="1"/>
  <c r="AU33" i="1"/>
  <c r="AU42" i="1"/>
  <c r="AV1" i="1"/>
  <c r="AU37" i="1"/>
  <c r="AU3" i="1"/>
  <c r="AU5" i="1"/>
  <c r="AU19" i="1"/>
  <c r="AU27" i="1"/>
  <c r="AU36" i="1"/>
  <c r="AV16" i="1" l="1"/>
  <c r="AV20" i="1"/>
  <c r="AV21" i="1"/>
  <c r="AV9" i="1"/>
  <c r="AV3" i="1"/>
  <c r="AV13" i="1"/>
  <c r="AV18" i="1"/>
  <c r="AV35" i="1"/>
  <c r="AV34" i="1"/>
  <c r="AV24" i="1"/>
  <c r="AV7" i="1"/>
  <c r="AV8" i="1"/>
  <c r="AV28" i="1"/>
  <c r="AV15" i="1"/>
  <c r="AV36" i="1"/>
  <c r="AV41" i="1"/>
  <c r="AV11" i="1"/>
  <c r="AV27" i="1"/>
  <c r="AV29" i="1"/>
  <c r="AV32" i="1"/>
  <c r="AV17" i="1"/>
  <c r="AV39" i="1"/>
  <c r="AV26" i="1"/>
  <c r="AV37" i="1"/>
  <c r="AV10" i="1"/>
  <c r="AV30" i="1"/>
  <c r="AV5" i="1"/>
  <c r="AV22" i="1"/>
  <c r="AV25" i="1"/>
  <c r="AV4" i="1"/>
  <c r="AV6" i="1"/>
  <c r="AW1" i="1"/>
  <c r="AV40" i="1"/>
  <c r="AV42" i="1"/>
  <c r="AV33" i="1"/>
  <c r="AV38" i="1"/>
  <c r="AV19" i="1"/>
  <c r="AV14" i="1"/>
  <c r="AV31" i="1"/>
  <c r="AV12" i="1"/>
  <c r="AV23" i="1"/>
  <c r="AW18" i="1" l="1"/>
  <c r="AW3" i="1"/>
  <c r="AW36" i="1"/>
  <c r="AW32" i="1"/>
  <c r="AW40" i="1"/>
  <c r="AW6" i="1"/>
  <c r="AW15" i="1"/>
  <c r="AW29" i="1"/>
  <c r="AW34" i="1"/>
  <c r="AW12" i="1"/>
  <c r="AW5" i="1"/>
  <c r="AW20" i="1"/>
  <c r="AW41" i="1"/>
  <c r="AW26" i="1"/>
  <c r="AW25" i="1"/>
  <c r="AW38" i="1"/>
  <c r="AW8" i="1"/>
  <c r="AW31" i="1"/>
  <c r="AW28" i="1"/>
  <c r="AW21" i="1"/>
  <c r="AX1" i="1"/>
  <c r="AW10" i="1"/>
  <c r="AW27" i="1"/>
  <c r="AW17" i="1"/>
  <c r="AW7" i="1"/>
  <c r="AW4" i="1"/>
  <c r="AW13" i="1"/>
  <c r="AW22" i="1"/>
  <c r="AW39" i="1"/>
  <c r="AW42" i="1"/>
  <c r="AW14" i="1"/>
  <c r="AW24" i="1"/>
  <c r="AW19" i="1"/>
  <c r="AW23" i="1"/>
  <c r="AW9" i="1"/>
  <c r="AW30" i="1"/>
  <c r="AW33" i="1"/>
  <c r="AW35" i="1"/>
  <c r="AW16" i="1"/>
  <c r="AW37" i="1"/>
  <c r="AW11" i="1"/>
  <c r="AX32" i="1" l="1"/>
  <c r="AX26" i="1"/>
  <c r="AX35" i="1"/>
  <c r="AX15" i="1"/>
  <c r="AX18" i="1"/>
  <c r="AX22" i="1"/>
  <c r="AX33" i="1"/>
  <c r="AX42" i="1"/>
  <c r="AX6" i="1"/>
  <c r="AX36" i="1"/>
  <c r="AX27" i="1"/>
  <c r="AX10" i="1"/>
  <c r="AX3" i="1"/>
  <c r="AX8" i="1"/>
  <c r="AX31" i="1"/>
  <c r="AX23" i="1"/>
  <c r="AX9" i="1"/>
  <c r="AX19" i="1"/>
  <c r="AX28" i="1"/>
  <c r="AX17" i="1"/>
  <c r="AX24" i="1"/>
  <c r="AX38" i="1"/>
  <c r="AX16" i="1"/>
  <c r="AX39" i="1"/>
  <c r="AX20" i="1"/>
  <c r="AX12" i="1"/>
  <c r="AX5" i="1"/>
  <c r="AX11" i="1"/>
  <c r="AX29" i="1"/>
  <c r="AX40" i="1"/>
  <c r="AX4" i="1"/>
  <c r="AX41" i="1"/>
  <c r="AY1" i="1"/>
  <c r="AX37" i="1"/>
  <c r="AX21" i="1"/>
  <c r="AX25" i="1"/>
  <c r="AX30" i="1"/>
  <c r="AX13" i="1"/>
  <c r="AX34" i="1"/>
  <c r="AX14" i="1"/>
  <c r="AX7" i="1"/>
  <c r="AY20" i="1" l="1"/>
  <c r="AY24" i="1"/>
  <c r="AY29" i="1"/>
  <c r="AY34" i="1"/>
  <c r="AY11" i="1"/>
  <c r="AY37" i="1"/>
  <c r="AY19" i="1"/>
  <c r="AY28" i="1"/>
  <c r="AY14" i="1"/>
  <c r="AY33" i="1"/>
  <c r="AY16" i="1"/>
  <c r="AY30" i="1"/>
  <c r="AY22" i="1"/>
  <c r="AY18" i="1"/>
  <c r="AY32" i="1"/>
  <c r="AY8" i="1"/>
  <c r="AY27" i="1"/>
  <c r="AY42" i="1"/>
  <c r="AY15" i="1"/>
  <c r="AY9" i="1"/>
  <c r="AY40" i="1"/>
  <c r="AY7" i="1"/>
  <c r="AY38" i="1"/>
  <c r="AY10" i="1"/>
  <c r="AY5" i="1"/>
  <c r="AY17" i="1"/>
  <c r="AY23" i="1"/>
  <c r="AY41" i="1"/>
  <c r="AZ1" i="1"/>
  <c r="AY25" i="1"/>
  <c r="AY13" i="1"/>
  <c r="AY12" i="1"/>
  <c r="AY31" i="1"/>
  <c r="AY6" i="1"/>
  <c r="AY39" i="1"/>
  <c r="AY4" i="1"/>
  <c r="AY21" i="1"/>
  <c r="AY35" i="1"/>
  <c r="AY26" i="1"/>
  <c r="AY3" i="1"/>
  <c r="AY36" i="1"/>
  <c r="AZ5" i="1" l="1"/>
  <c r="AZ22" i="1"/>
  <c r="AZ13" i="1"/>
  <c r="AZ8" i="1"/>
  <c r="AZ33" i="1"/>
  <c r="AZ37" i="1"/>
  <c r="AZ35" i="1"/>
  <c r="AZ10" i="1"/>
  <c r="AZ28" i="1"/>
  <c r="AZ16" i="1"/>
  <c r="BA1" i="1"/>
  <c r="AZ12" i="1"/>
  <c r="AZ27" i="1"/>
  <c r="AZ11" i="1"/>
  <c r="AZ6" i="1"/>
  <c r="AZ25" i="1"/>
  <c r="AZ39" i="1"/>
  <c r="AZ15" i="1"/>
  <c r="AZ34" i="1"/>
  <c r="AZ30" i="1"/>
  <c r="AZ31" i="1"/>
  <c r="AZ3" i="1"/>
  <c r="AZ7" i="1"/>
  <c r="AZ19" i="1"/>
  <c r="AZ24" i="1"/>
  <c r="AZ4" i="1"/>
  <c r="AZ18" i="1"/>
  <c r="AZ9" i="1"/>
  <c r="AZ14" i="1"/>
  <c r="AZ21" i="1"/>
  <c r="AZ41" i="1"/>
  <c r="AZ36" i="1"/>
  <c r="AZ29" i="1"/>
  <c r="AZ17" i="1"/>
  <c r="AZ23" i="1"/>
  <c r="AZ42" i="1"/>
  <c r="AZ40" i="1"/>
  <c r="AZ38" i="1"/>
  <c r="AZ32" i="1"/>
  <c r="AZ26" i="1"/>
  <c r="AZ20" i="1"/>
  <c r="BA42" i="1" l="1"/>
  <c r="BA26" i="1"/>
  <c r="BA28" i="1"/>
  <c r="BA18" i="1"/>
  <c r="BA14" i="1"/>
  <c r="BA12" i="1"/>
  <c r="BA39" i="1"/>
  <c r="BA35" i="1"/>
  <c r="BA32" i="1"/>
  <c r="BA31" i="1"/>
  <c r="BA30" i="1"/>
  <c r="BA27" i="1"/>
  <c r="BA24" i="1"/>
  <c r="BA19" i="1"/>
  <c r="BA17" i="1"/>
  <c r="BA16" i="1"/>
  <c r="BA13" i="1"/>
  <c r="BA9" i="1"/>
  <c r="BA34" i="1"/>
  <c r="BA25" i="1"/>
  <c r="BA8" i="1"/>
  <c r="BA6" i="1"/>
  <c r="BB1" i="1"/>
  <c r="BA41" i="1"/>
  <c r="BA40" i="1"/>
  <c r="BA38" i="1"/>
  <c r="BA37" i="1"/>
  <c r="BA36" i="1"/>
  <c r="BA33" i="1"/>
  <c r="BA29" i="1"/>
  <c r="BA23" i="1"/>
  <c r="BA22" i="1"/>
  <c r="BA21" i="1"/>
  <c r="BA20" i="1"/>
  <c r="BA15" i="1"/>
  <c r="BA11" i="1"/>
  <c r="BA10" i="1"/>
  <c r="BA7" i="1"/>
  <c r="BA5" i="1"/>
  <c r="BA4" i="1"/>
  <c r="BA3" i="1"/>
  <c r="BB5" i="1" l="1"/>
  <c r="BB7" i="1"/>
  <c r="BB10" i="1"/>
  <c r="BB11" i="1"/>
  <c r="BB14" i="1"/>
  <c r="BB22" i="1"/>
  <c r="BB25" i="1"/>
  <c r="BB33" i="1"/>
  <c r="BB36" i="1"/>
  <c r="BB38" i="1"/>
  <c r="BB40" i="1"/>
  <c r="BB41" i="1"/>
  <c r="BB42" i="1"/>
  <c r="BC1" i="1"/>
  <c r="BB3" i="1"/>
  <c r="BB4" i="1"/>
  <c r="BB8" i="1"/>
  <c r="BB13" i="1"/>
  <c r="BB15" i="1"/>
  <c r="BB17" i="1"/>
  <c r="BB20" i="1"/>
  <c r="BB21" i="1"/>
  <c r="BB27" i="1"/>
  <c r="BB29" i="1"/>
  <c r="BB32" i="1"/>
  <c r="BB6" i="1"/>
  <c r="BB9" i="1"/>
  <c r="BB12" i="1"/>
  <c r="BB16" i="1"/>
  <c r="BB18" i="1"/>
  <c r="BB19" i="1"/>
  <c r="BB23" i="1"/>
  <c r="BB24" i="1"/>
  <c r="BB26" i="1"/>
  <c r="BB28" i="1"/>
  <c r="BB30" i="1"/>
  <c r="BB31" i="1"/>
  <c r="BB34" i="1"/>
  <c r="BB35" i="1"/>
  <c r="BB37" i="1"/>
  <c r="BB39" i="1"/>
  <c r="BC3" i="1" l="1"/>
  <c r="BC6" i="1"/>
  <c r="BC11" i="1"/>
  <c r="BC35" i="1"/>
  <c r="BC5" i="1"/>
  <c r="BC14" i="1"/>
  <c r="BC9" i="1"/>
  <c r="BC24" i="1"/>
  <c r="BC33" i="1"/>
  <c r="BC41" i="1"/>
  <c r="BC4" i="1"/>
  <c r="BC7" i="1"/>
  <c r="BC8" i="1"/>
  <c r="BC10" i="1"/>
  <c r="BC13" i="1"/>
  <c r="BC15" i="1"/>
  <c r="BC17" i="1"/>
  <c r="BC22" i="1"/>
  <c r="BC25" i="1"/>
  <c r="BC27" i="1"/>
  <c r="BC32" i="1"/>
  <c r="BC36" i="1"/>
  <c r="BC38" i="1"/>
  <c r="BC40" i="1"/>
  <c r="BC42" i="1"/>
  <c r="BD1" i="1"/>
  <c r="BC12" i="1"/>
  <c r="BC16" i="1"/>
  <c r="BC18" i="1"/>
  <c r="BC19" i="1"/>
  <c r="BC20" i="1"/>
  <c r="BC21" i="1"/>
  <c r="BC23" i="1"/>
  <c r="BC26" i="1"/>
  <c r="BC28" i="1"/>
  <c r="BC29" i="1"/>
  <c r="BC30" i="1"/>
  <c r="BC31" i="1"/>
  <c r="BC34" i="1"/>
  <c r="BC37" i="1"/>
  <c r="BC39" i="1"/>
  <c r="BD29" i="1" l="1"/>
  <c r="BD33" i="1"/>
  <c r="BD34" i="1"/>
  <c r="BD39" i="1"/>
  <c r="BD8" i="1"/>
  <c r="BD9" i="1"/>
  <c r="BD10" i="1"/>
  <c r="BD13" i="1"/>
  <c r="BD14" i="1"/>
  <c r="BD15" i="1"/>
  <c r="BD17" i="1"/>
  <c r="BD24" i="1"/>
  <c r="BD25" i="1"/>
  <c r="BD27" i="1"/>
  <c r="BD32" i="1"/>
  <c r="BD35" i="1"/>
  <c r="BD36" i="1"/>
  <c r="BD38" i="1"/>
  <c r="BD41" i="1"/>
  <c r="BD5" i="1"/>
  <c r="BD7" i="1"/>
  <c r="BD12" i="1"/>
  <c r="BD16" i="1"/>
  <c r="BD18" i="1"/>
  <c r="BD6" i="1"/>
  <c r="BD19" i="1"/>
  <c r="BD22" i="1"/>
  <c r="BD23" i="1"/>
  <c r="BD28" i="1"/>
  <c r="BD31" i="1"/>
  <c r="BD40" i="1"/>
  <c r="BD42" i="1"/>
  <c r="BD30" i="1"/>
  <c r="BD37" i="1"/>
  <c r="BE1" i="1"/>
  <c r="BD3" i="1"/>
  <c r="BD4" i="1"/>
  <c r="BD11" i="1"/>
  <c r="BD20" i="1"/>
  <c r="BD21" i="1"/>
  <c r="BD26" i="1"/>
  <c r="BE16" i="1" l="1"/>
  <c r="BE33" i="1"/>
  <c r="BE39" i="1"/>
  <c r="BF1" i="1"/>
  <c r="BE14" i="1"/>
  <c r="BE30" i="1"/>
  <c r="BE6" i="1"/>
  <c r="BE8" i="1"/>
  <c r="BE13" i="1"/>
  <c r="BE17" i="1"/>
  <c r="BE18" i="1"/>
  <c r="BE19" i="1"/>
  <c r="BE23" i="1"/>
  <c r="BE24" i="1"/>
  <c r="BE25" i="1"/>
  <c r="BE31" i="1"/>
  <c r="BE20" i="1"/>
  <c r="BE37" i="1"/>
  <c r="BE42" i="1"/>
  <c r="BE4" i="1"/>
  <c r="BE26" i="1"/>
  <c r="BE29" i="1"/>
  <c r="BE3" i="1"/>
  <c r="BE7" i="1"/>
  <c r="BE9" i="1"/>
  <c r="BE15" i="1"/>
  <c r="BE32" i="1"/>
  <c r="BE35" i="1"/>
  <c r="BE36" i="1"/>
  <c r="BE38" i="1"/>
  <c r="BE41" i="1"/>
  <c r="BE5" i="1"/>
  <c r="BE11" i="1"/>
  <c r="BE21" i="1"/>
  <c r="BE40" i="1"/>
  <c r="BE10" i="1"/>
  <c r="BE27" i="1"/>
  <c r="BE34" i="1"/>
  <c r="BE28" i="1"/>
  <c r="BE12" i="1"/>
  <c r="BE22" i="1"/>
  <c r="BF40" i="1" l="1"/>
  <c r="BF18" i="1"/>
  <c r="BF27" i="1"/>
  <c r="BF39" i="1"/>
  <c r="BG1" i="1"/>
  <c r="BF3" i="1"/>
  <c r="BF6" i="1"/>
  <c r="BF8" i="1"/>
  <c r="BF9" i="1"/>
  <c r="BF11" i="1"/>
  <c r="BF13" i="1"/>
  <c r="BF15" i="1"/>
  <c r="BF17" i="1"/>
  <c r="BF21" i="1"/>
  <c r="BF24" i="1"/>
  <c r="BF25" i="1"/>
  <c r="BF32" i="1"/>
  <c r="BF41" i="1"/>
  <c r="BF4" i="1"/>
  <c r="BF5" i="1"/>
  <c r="BF10" i="1"/>
  <c r="BF12" i="1"/>
  <c r="BF14" i="1"/>
  <c r="BF16" i="1"/>
  <c r="BF20" i="1"/>
  <c r="BF22" i="1"/>
  <c r="BF33" i="1"/>
  <c r="BF19" i="1"/>
  <c r="BF34" i="1"/>
  <c r="BF37" i="1"/>
  <c r="BF42" i="1"/>
  <c r="BF23" i="1"/>
  <c r="BF29" i="1"/>
  <c r="BF31" i="1"/>
  <c r="BF35" i="1"/>
  <c r="BF38" i="1"/>
  <c r="BF28" i="1"/>
  <c r="BF7" i="1"/>
  <c r="BF26" i="1"/>
  <c r="BF30" i="1"/>
  <c r="BF36" i="1"/>
  <c r="BG5" i="1" l="1"/>
  <c r="BG9" i="1"/>
  <c r="BG11" i="1"/>
  <c r="BG14" i="1"/>
  <c r="BG17" i="1"/>
  <c r="BG24" i="1"/>
  <c r="BG25" i="1"/>
  <c r="BG37" i="1"/>
  <c r="BG4" i="1"/>
  <c r="BG8" i="1"/>
  <c r="BG10" i="1"/>
  <c r="BG13" i="1"/>
  <c r="BG15" i="1"/>
  <c r="BG22" i="1"/>
  <c r="BG39" i="1"/>
  <c r="BG40" i="1"/>
  <c r="BG41" i="1"/>
  <c r="BG42" i="1"/>
  <c r="BG7" i="1"/>
  <c r="BG12" i="1"/>
  <c r="BG16" i="1"/>
  <c r="BG19" i="1"/>
  <c r="BG20" i="1"/>
  <c r="BG31" i="1"/>
  <c r="BH1" i="1"/>
  <c r="BG3" i="1"/>
  <c r="BG18" i="1"/>
  <c r="BG23" i="1"/>
  <c r="BG27" i="1"/>
  <c r="BG30" i="1"/>
  <c r="BG32" i="1"/>
  <c r="BG35" i="1"/>
  <c r="BG36" i="1"/>
  <c r="BG38" i="1"/>
  <c r="BG28" i="1"/>
  <c r="BG33" i="1"/>
  <c r="BG6" i="1"/>
  <c r="BG21" i="1"/>
  <c r="BG26" i="1"/>
  <c r="BG29" i="1"/>
  <c r="BG34" i="1"/>
  <c r="BH4" i="1" l="1"/>
  <c r="BH5" i="1"/>
  <c r="BH7" i="1"/>
  <c r="BH8" i="1"/>
  <c r="BH9" i="1"/>
  <c r="BH11" i="1"/>
  <c r="BH12" i="1"/>
  <c r="BH13" i="1"/>
  <c r="BH15" i="1"/>
  <c r="BH17" i="1"/>
  <c r="BH24" i="1"/>
  <c r="BH25" i="1"/>
  <c r="BH31" i="1"/>
  <c r="BH37" i="1"/>
  <c r="BH39" i="1"/>
  <c r="BH40" i="1"/>
  <c r="BH41" i="1"/>
  <c r="BH6" i="1"/>
  <c r="BH16" i="1"/>
  <c r="BH18" i="1"/>
  <c r="BH19" i="1"/>
  <c r="BH20" i="1"/>
  <c r="BH21" i="1"/>
  <c r="BH26" i="1"/>
  <c r="BH27" i="1"/>
  <c r="BH28" i="1"/>
  <c r="BH29" i="1"/>
  <c r="BH32" i="1"/>
  <c r="BH33" i="1"/>
  <c r="BH36" i="1"/>
  <c r="BH38" i="1"/>
  <c r="BI1" i="1"/>
  <c r="BH3" i="1"/>
  <c r="BH10" i="1"/>
  <c r="BH14" i="1"/>
  <c r="BH22" i="1"/>
  <c r="BH23" i="1"/>
  <c r="BH30" i="1"/>
  <c r="BH34" i="1"/>
  <c r="BH35" i="1"/>
  <c r="BH42" i="1"/>
  <c r="BI4" i="1" l="1"/>
  <c r="BI5" i="1"/>
  <c r="BI6" i="1"/>
  <c r="BI8" i="1"/>
  <c r="BI9" i="1"/>
  <c r="BI15" i="1"/>
  <c r="BI17" i="1"/>
  <c r="BI25" i="1"/>
  <c r="BI26" i="1"/>
  <c r="BI40" i="1"/>
  <c r="BI10" i="1"/>
  <c r="BI19" i="1"/>
  <c r="BI21" i="1"/>
  <c r="BI27" i="1"/>
  <c r="BI29" i="1"/>
  <c r="BI36" i="1"/>
  <c r="BI38" i="1"/>
  <c r="BI42" i="1"/>
  <c r="BJ1" i="1"/>
  <c r="BI18" i="1"/>
  <c r="BI32" i="1"/>
  <c r="BI3" i="1"/>
  <c r="BI14" i="1"/>
  <c r="BI16" i="1"/>
  <c r="BI20" i="1"/>
  <c r="BI22" i="1"/>
  <c r="BI28" i="1"/>
  <c r="BI33" i="1"/>
  <c r="BI7" i="1"/>
  <c r="BI11" i="1"/>
  <c r="BI12" i="1"/>
  <c r="BI13" i="1"/>
  <c r="BI23" i="1"/>
  <c r="BI24" i="1"/>
  <c r="BI30" i="1"/>
  <c r="BI31" i="1"/>
  <c r="BI34" i="1"/>
  <c r="BI35" i="1"/>
  <c r="BI37" i="1"/>
  <c r="BI39" i="1"/>
  <c r="BI41" i="1"/>
  <c r="BJ23" i="1" l="1"/>
  <c r="BJ30" i="1"/>
  <c r="BJ34" i="1"/>
  <c r="BJ4" i="1"/>
  <c r="BJ6" i="1"/>
  <c r="BJ10" i="1"/>
  <c r="BJ22" i="1"/>
  <c r="BJ5" i="1"/>
  <c r="BJ9" i="1"/>
  <c r="BJ14" i="1"/>
  <c r="BJ15" i="1"/>
  <c r="BJ16" i="1"/>
  <c r="BJ28" i="1"/>
  <c r="BJ33" i="1"/>
  <c r="BJ36" i="1"/>
  <c r="BJ38" i="1"/>
  <c r="BJ40" i="1"/>
  <c r="BJ42" i="1"/>
  <c r="BJ3" i="1"/>
  <c r="BJ13" i="1"/>
  <c r="BJ19" i="1"/>
  <c r="BJ20" i="1"/>
  <c r="BJ21" i="1"/>
  <c r="BJ27" i="1"/>
  <c r="BJ29" i="1"/>
  <c r="BJ41" i="1"/>
  <c r="BK1" i="1"/>
  <c r="BJ7" i="1"/>
  <c r="BJ8" i="1"/>
  <c r="BJ11" i="1"/>
  <c r="BJ12" i="1"/>
  <c r="BJ18" i="1"/>
  <c r="BJ25" i="1"/>
  <c r="BJ31" i="1"/>
  <c r="BJ35" i="1"/>
  <c r="BJ39" i="1"/>
  <c r="BJ17" i="1"/>
  <c r="BJ24" i="1"/>
  <c r="BJ26" i="1"/>
  <c r="BJ32" i="1"/>
  <c r="BJ37" i="1"/>
  <c r="BK4" i="1" l="1"/>
  <c r="BK6" i="1"/>
  <c r="BK10" i="1"/>
  <c r="BK14" i="1"/>
  <c r="BK22" i="1"/>
  <c r="BK40" i="1"/>
  <c r="BK7" i="1"/>
  <c r="BK17" i="1"/>
  <c r="BK18" i="1"/>
  <c r="BK19" i="1"/>
  <c r="BK20" i="1"/>
  <c r="BK21" i="1"/>
  <c r="BK3" i="1"/>
  <c r="BK5" i="1"/>
  <c r="BK9" i="1"/>
  <c r="BK13" i="1"/>
  <c r="BK15" i="1"/>
  <c r="BK36" i="1"/>
  <c r="BK38" i="1"/>
  <c r="BK41" i="1"/>
  <c r="BK8" i="1"/>
  <c r="BK23" i="1"/>
  <c r="BK25" i="1"/>
  <c r="BK26" i="1"/>
  <c r="BK27" i="1"/>
  <c r="BK29" i="1"/>
  <c r="BK30" i="1"/>
  <c r="BK31" i="1"/>
  <c r="BK32" i="1"/>
  <c r="BK34" i="1"/>
  <c r="BK35" i="1"/>
  <c r="BK37" i="1"/>
  <c r="BK39" i="1"/>
  <c r="BL1" i="1"/>
  <c r="BK11" i="1"/>
  <c r="BK12" i="1"/>
  <c r="BK16" i="1"/>
  <c r="BK24" i="1"/>
  <c r="BK28" i="1"/>
  <c r="BK33" i="1"/>
  <c r="BK42" i="1"/>
  <c r="BL3" i="1" l="1"/>
  <c r="BL5" i="1"/>
  <c r="BL8" i="1"/>
  <c r="BL22" i="1"/>
  <c r="BL32" i="1"/>
  <c r="BL4" i="1"/>
  <c r="BL7" i="1"/>
  <c r="BL14" i="1"/>
  <c r="BL23" i="1"/>
  <c r="BL26" i="1"/>
  <c r="BL30" i="1"/>
  <c r="BL31" i="1"/>
  <c r="BL39" i="1"/>
  <c r="BL11" i="1"/>
  <c r="BL15" i="1"/>
  <c r="BL17" i="1"/>
  <c r="BL18" i="1"/>
  <c r="BL19" i="1"/>
  <c r="BL20" i="1"/>
  <c r="BL21" i="1"/>
  <c r="BL25" i="1"/>
  <c r="BL27" i="1"/>
  <c r="BL28" i="1"/>
  <c r="BL29" i="1"/>
  <c r="BL33" i="1"/>
  <c r="BL34" i="1"/>
  <c r="BL35" i="1"/>
  <c r="BL37" i="1"/>
  <c r="BM1" i="1"/>
  <c r="BL6" i="1"/>
  <c r="BL9" i="1"/>
  <c r="BL10" i="1"/>
  <c r="BL12" i="1"/>
  <c r="BL13" i="1"/>
  <c r="BL16" i="1"/>
  <c r="BL24" i="1"/>
  <c r="BL36" i="1"/>
  <c r="BL38" i="1"/>
  <c r="BL40" i="1"/>
  <c r="BL41" i="1"/>
  <c r="BL42" i="1"/>
  <c r="BM4" i="1" l="1"/>
  <c r="BM19" i="1"/>
  <c r="BM11" i="1"/>
  <c r="BM14" i="1"/>
  <c r="BM17" i="1"/>
  <c r="BM20" i="1"/>
  <c r="BM22" i="1"/>
  <c r="BM25" i="1"/>
  <c r="BM27" i="1"/>
  <c r="BM28" i="1"/>
  <c r="BM32" i="1"/>
  <c r="BM33" i="1"/>
  <c r="BM35" i="1"/>
  <c r="BM36" i="1"/>
  <c r="BM37" i="1"/>
  <c r="BM39" i="1"/>
  <c r="BM6" i="1"/>
  <c r="BM9" i="1"/>
  <c r="BM10" i="1"/>
  <c r="BM15" i="1"/>
  <c r="BM18" i="1"/>
  <c r="BM21" i="1"/>
  <c r="BM29" i="1"/>
  <c r="BM34" i="1"/>
  <c r="BM40" i="1"/>
  <c r="BM3" i="1"/>
  <c r="BM5" i="1"/>
  <c r="BM7" i="1"/>
  <c r="BM8" i="1"/>
  <c r="BM12" i="1"/>
  <c r="BM13" i="1"/>
  <c r="BM16" i="1"/>
  <c r="BM23" i="1"/>
  <c r="BM24" i="1"/>
  <c r="BM26" i="1"/>
  <c r="BM30" i="1"/>
  <c r="BM31" i="1"/>
  <c r="BM38" i="1"/>
  <c r="BM41" i="1"/>
  <c r="BM42" i="1"/>
  <c r="BN1" i="1"/>
  <c r="BO1" i="1" l="1"/>
  <c r="BN3" i="1"/>
  <c r="BN4" i="1"/>
  <c r="BN5" i="1"/>
  <c r="BN6" i="1"/>
  <c r="BN7" i="1"/>
  <c r="BN14" i="1"/>
  <c r="BN15" i="1"/>
  <c r="BN16" i="1"/>
  <c r="BN18" i="1"/>
  <c r="BN20" i="1"/>
  <c r="BN31" i="1"/>
  <c r="BN35" i="1"/>
  <c r="BN36" i="1"/>
  <c r="BN40" i="1"/>
  <c r="BN10" i="1"/>
  <c r="BN11" i="1"/>
  <c r="BN12" i="1"/>
  <c r="BN13" i="1"/>
  <c r="BN17" i="1"/>
  <c r="BN19" i="1"/>
  <c r="BN32" i="1"/>
  <c r="BN33" i="1"/>
  <c r="BN37" i="1"/>
  <c r="BN39" i="1"/>
  <c r="BN41" i="1"/>
  <c r="BN42" i="1"/>
  <c r="BN21" i="1"/>
  <c r="BN22" i="1"/>
  <c r="BN23" i="1"/>
  <c r="BN24" i="1"/>
  <c r="BN25" i="1"/>
  <c r="BN26" i="1"/>
  <c r="BN27" i="1"/>
  <c r="BN28" i="1"/>
  <c r="BN29" i="1"/>
  <c r="BN30" i="1"/>
  <c r="BN34" i="1"/>
  <c r="BN38" i="1"/>
  <c r="BN8" i="1"/>
  <c r="BN9" i="1"/>
  <c r="BP1" i="1" l="1"/>
  <c r="BO3" i="1"/>
  <c r="BO4" i="1"/>
  <c r="BO5" i="1"/>
  <c r="BO6" i="1"/>
  <c r="BO7" i="1"/>
  <c r="BO14" i="1"/>
  <c r="BO17" i="1"/>
  <c r="BO19" i="1"/>
  <c r="BO32" i="1"/>
  <c r="BO33" i="1"/>
  <c r="BO38" i="1"/>
  <c r="BO39" i="1"/>
  <c r="BO41" i="1"/>
  <c r="BO42" i="1"/>
  <c r="BO10" i="1"/>
  <c r="BO11" i="1"/>
  <c r="BO12" i="1"/>
  <c r="BO13" i="1"/>
  <c r="BO15" i="1"/>
  <c r="BO16" i="1"/>
  <c r="BO18" i="1"/>
  <c r="BO20" i="1"/>
  <c r="BO34" i="1"/>
  <c r="BO21" i="1"/>
  <c r="BO22" i="1"/>
  <c r="BO23" i="1"/>
  <c r="BO24" i="1"/>
  <c r="BO27" i="1"/>
  <c r="BO28" i="1"/>
  <c r="BO29" i="1"/>
  <c r="BO30" i="1"/>
  <c r="BO31" i="1"/>
  <c r="BO35" i="1"/>
  <c r="BO36" i="1"/>
  <c r="BO37" i="1"/>
  <c r="BO40" i="1"/>
  <c r="BO9" i="1"/>
  <c r="BO8" i="1"/>
  <c r="BO25" i="1"/>
  <c r="BO26" i="1"/>
  <c r="BQ1" i="1" l="1"/>
  <c r="BP3" i="1"/>
  <c r="BP4" i="1"/>
  <c r="BP5" i="1"/>
  <c r="BP6" i="1"/>
  <c r="BP7" i="1"/>
  <c r="BP14" i="1"/>
  <c r="BP15" i="1"/>
  <c r="BP16" i="1"/>
  <c r="BP17" i="1"/>
  <c r="BP18" i="1"/>
  <c r="BP34" i="1"/>
  <c r="BP37" i="1"/>
  <c r="BP10" i="1"/>
  <c r="BP33" i="1"/>
  <c r="BP41" i="1"/>
  <c r="BP8" i="1"/>
  <c r="BP9" i="1"/>
  <c r="BP11" i="1"/>
  <c r="BP12" i="1"/>
  <c r="BP13" i="1"/>
  <c r="BP19" i="1"/>
  <c r="BP31" i="1"/>
  <c r="BP35" i="1"/>
  <c r="BP36" i="1"/>
  <c r="BP38" i="1"/>
  <c r="BP40" i="1"/>
  <c r="BP20" i="1"/>
  <c r="BP21" i="1"/>
  <c r="BP22" i="1"/>
  <c r="BP23" i="1"/>
  <c r="BP24" i="1"/>
  <c r="BP25" i="1"/>
  <c r="BP26" i="1"/>
  <c r="BP27" i="1"/>
  <c r="BP28" i="1"/>
  <c r="BP29" i="1"/>
  <c r="BP30" i="1"/>
  <c r="BP32" i="1"/>
  <c r="BP39" i="1"/>
  <c r="BP42" i="1"/>
  <c r="BQ36" i="1" l="1"/>
  <c r="BQ38" i="1"/>
  <c r="BQ8" i="1"/>
  <c r="BQ9" i="1"/>
  <c r="BQ34" i="1"/>
  <c r="BR1" i="1"/>
  <c r="BQ3" i="1"/>
  <c r="BQ4" i="1"/>
  <c r="BQ5" i="1"/>
  <c r="BQ6" i="1"/>
  <c r="BQ14" i="1"/>
  <c r="BQ19" i="1"/>
  <c r="BQ32" i="1"/>
  <c r="BQ35" i="1"/>
  <c r="BQ39" i="1"/>
  <c r="BQ40" i="1"/>
  <c r="BQ42" i="1"/>
  <c r="BQ7" i="1"/>
  <c r="BQ10" i="1"/>
  <c r="BQ11" i="1"/>
  <c r="BQ12" i="1"/>
  <c r="BQ13" i="1"/>
  <c r="BQ15" i="1"/>
  <c r="BQ16" i="1"/>
  <c r="BQ17" i="1"/>
  <c r="BQ18" i="1"/>
  <c r="BQ41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3" i="1"/>
  <c r="BQ37" i="1"/>
  <c r="BS1" i="1" l="1"/>
  <c r="BR3" i="1"/>
  <c r="BR4" i="1"/>
  <c r="BR5" i="1"/>
  <c r="BR6" i="1"/>
  <c r="BR14" i="1"/>
  <c r="BR15" i="1"/>
  <c r="BR16" i="1"/>
  <c r="BR17" i="1"/>
  <c r="BR18" i="1"/>
  <c r="BR31" i="1"/>
  <c r="BR34" i="1"/>
  <c r="BR35" i="1"/>
  <c r="BR36" i="1"/>
  <c r="BR38" i="1"/>
  <c r="BR41" i="1"/>
  <c r="BR7" i="1"/>
  <c r="BR10" i="1"/>
  <c r="BR11" i="1"/>
  <c r="BR12" i="1"/>
  <c r="BR13" i="1"/>
  <c r="BR19" i="1"/>
  <c r="BR32" i="1"/>
  <c r="BR33" i="1"/>
  <c r="BR37" i="1"/>
  <c r="BR39" i="1"/>
  <c r="BR42" i="1"/>
  <c r="BR20" i="1"/>
  <c r="BR21" i="1"/>
  <c r="BR22" i="1"/>
  <c r="BR23" i="1"/>
  <c r="BR24" i="1"/>
  <c r="BR25" i="1"/>
  <c r="BR26" i="1"/>
  <c r="BR27" i="1"/>
  <c r="BR28" i="1"/>
  <c r="BR30" i="1"/>
  <c r="BR8" i="1"/>
  <c r="BR29" i="1"/>
  <c r="BR40" i="1"/>
  <c r="BR9" i="1"/>
  <c r="BT1" i="1" l="1"/>
  <c r="BS3" i="1"/>
  <c r="BS4" i="1"/>
  <c r="BS5" i="1"/>
  <c r="BS6" i="1"/>
  <c r="BS19" i="1"/>
  <c r="BS33" i="1"/>
  <c r="BS35" i="1"/>
  <c r="BS37" i="1"/>
  <c r="BS40" i="1"/>
  <c r="BS7" i="1"/>
  <c r="BS10" i="1"/>
  <c r="BS11" i="1"/>
  <c r="BS12" i="1"/>
  <c r="BS34" i="1"/>
  <c r="BS42" i="1"/>
  <c r="BS13" i="1"/>
  <c r="BS14" i="1"/>
  <c r="BS15" i="1"/>
  <c r="BS16" i="1"/>
  <c r="BS17" i="1"/>
  <c r="BS18" i="1"/>
  <c r="BS36" i="1"/>
  <c r="BS41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9" i="1"/>
  <c r="BS38" i="1"/>
  <c r="BS8" i="1"/>
  <c r="BS9" i="1"/>
  <c r="BT30" i="1" l="1"/>
  <c r="BT4" i="1"/>
  <c r="BT15" i="1"/>
  <c r="BT18" i="1"/>
  <c r="BT32" i="1"/>
  <c r="BT34" i="1"/>
  <c r="BT36" i="1"/>
  <c r="BT38" i="1"/>
  <c r="BT39" i="1"/>
  <c r="BU1" i="1"/>
  <c r="BT5" i="1"/>
  <c r="BT14" i="1"/>
  <c r="BT41" i="1"/>
  <c r="BT7" i="1"/>
  <c r="BT11" i="1"/>
  <c r="BT12" i="1"/>
  <c r="BT16" i="1"/>
  <c r="BT19" i="1"/>
  <c r="BT31" i="1"/>
  <c r="BT40" i="1"/>
  <c r="BT20" i="1"/>
  <c r="BT21" i="1"/>
  <c r="BT22" i="1"/>
  <c r="BT33" i="1"/>
  <c r="BT8" i="1"/>
  <c r="BT9" i="1"/>
  <c r="BT3" i="1"/>
  <c r="BT6" i="1"/>
  <c r="BT17" i="1"/>
  <c r="BT42" i="1"/>
  <c r="BT10" i="1"/>
  <c r="BT13" i="1"/>
  <c r="BT23" i="1"/>
  <c r="BT24" i="1"/>
  <c r="BT25" i="1"/>
  <c r="BT26" i="1"/>
  <c r="BT27" i="1"/>
  <c r="BT28" i="1"/>
  <c r="BT29" i="1"/>
  <c r="BT35" i="1"/>
  <c r="BT37" i="1"/>
  <c r="BV1" i="1" l="1"/>
  <c r="BU3" i="1"/>
  <c r="BU4" i="1"/>
  <c r="BU5" i="1"/>
  <c r="BU6" i="1"/>
  <c r="BU14" i="1"/>
  <c r="BU18" i="1"/>
  <c r="BU38" i="1"/>
  <c r="BU39" i="1"/>
  <c r="BU41" i="1"/>
  <c r="BU42" i="1"/>
  <c r="BU8" i="1"/>
  <c r="BU9" i="1"/>
  <c r="BU19" i="1"/>
  <c r="BU31" i="1"/>
  <c r="BU33" i="1"/>
  <c r="BU37" i="1"/>
  <c r="BU40" i="1"/>
  <c r="BU7" i="1"/>
  <c r="BU10" i="1"/>
  <c r="BU11" i="1"/>
  <c r="BU12" i="1"/>
  <c r="BU13" i="1"/>
  <c r="BU15" i="1"/>
  <c r="BU16" i="1"/>
  <c r="BU17" i="1"/>
  <c r="BU32" i="1"/>
  <c r="BU35" i="1"/>
  <c r="BU20" i="1"/>
  <c r="BU21" i="1"/>
  <c r="BU22" i="1"/>
  <c r="BU23" i="1"/>
  <c r="BU24" i="1"/>
  <c r="BU25" i="1"/>
  <c r="BU26" i="1"/>
  <c r="BU27" i="1"/>
  <c r="BU28" i="1"/>
  <c r="BU29" i="1"/>
  <c r="BU30" i="1"/>
  <c r="BU34" i="1"/>
  <c r="BU36" i="1"/>
  <c r="BW1" i="1" l="1"/>
  <c r="BV3" i="1"/>
  <c r="BV4" i="1"/>
  <c r="BV5" i="1"/>
  <c r="BV6" i="1"/>
  <c r="BV13" i="1"/>
  <c r="BV15" i="1"/>
  <c r="BV37" i="1"/>
  <c r="BV17" i="1"/>
  <c r="BV19" i="1"/>
  <c r="BV32" i="1"/>
  <c r="BV34" i="1"/>
  <c r="BV35" i="1"/>
  <c r="BV10" i="1"/>
  <c r="BV11" i="1"/>
  <c r="BV12" i="1"/>
  <c r="BV14" i="1"/>
  <c r="BV16" i="1"/>
  <c r="BV18" i="1"/>
  <c r="BV33" i="1"/>
  <c r="BV36" i="1"/>
  <c r="BV38" i="1"/>
  <c r="BV39" i="1"/>
  <c r="BV40" i="1"/>
  <c r="BV41" i="1"/>
  <c r="BV42" i="1"/>
  <c r="BV20" i="1"/>
  <c r="BV21" i="1"/>
  <c r="BV22" i="1"/>
  <c r="BV23" i="1"/>
  <c r="BV24" i="1"/>
  <c r="BV25" i="1"/>
  <c r="BV26" i="1"/>
  <c r="BV27" i="1"/>
  <c r="BV28" i="1"/>
  <c r="BV29" i="1"/>
  <c r="BV30" i="1"/>
  <c r="BV9" i="1"/>
  <c r="BV31" i="1"/>
  <c r="BV7" i="1"/>
  <c r="BV8" i="1"/>
  <c r="BX1" i="1" l="1"/>
  <c r="BW3" i="1"/>
  <c r="BW4" i="1"/>
  <c r="BW5" i="1"/>
  <c r="BW6" i="1"/>
  <c r="BW14" i="1"/>
  <c r="BW15" i="1"/>
  <c r="BW18" i="1"/>
  <c r="BW33" i="1"/>
  <c r="BW35" i="1"/>
  <c r="BW9" i="1"/>
  <c r="BW31" i="1"/>
  <c r="BW36" i="1"/>
  <c r="BW37" i="1"/>
  <c r="BW38" i="1"/>
  <c r="BW39" i="1"/>
  <c r="BW40" i="1"/>
  <c r="BW41" i="1"/>
  <c r="BW42" i="1"/>
  <c r="BW10" i="1"/>
  <c r="BW11" i="1"/>
  <c r="BW12" i="1"/>
  <c r="BW13" i="1"/>
  <c r="BW16" i="1"/>
  <c r="BW17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4" i="1"/>
  <c r="BW7" i="1"/>
  <c r="BW8" i="1"/>
  <c r="BY1" i="1" l="1"/>
  <c r="BX3" i="1"/>
  <c r="BX4" i="1"/>
  <c r="BX5" i="1"/>
  <c r="BX6" i="1"/>
  <c r="BX13" i="1"/>
  <c r="BX17" i="1"/>
  <c r="BX19" i="1"/>
  <c r="BX32" i="1"/>
  <c r="BX33" i="1"/>
  <c r="BX34" i="1"/>
  <c r="BX10" i="1"/>
  <c r="BX11" i="1"/>
  <c r="BX12" i="1"/>
  <c r="BX39" i="1"/>
  <c r="BX42" i="1"/>
  <c r="BX8" i="1"/>
  <c r="BX14" i="1"/>
  <c r="BX15" i="1"/>
  <c r="BX16" i="1"/>
  <c r="BX18" i="1"/>
  <c r="BX31" i="1"/>
  <c r="BX35" i="1"/>
  <c r="BX37" i="1"/>
  <c r="BX40" i="1"/>
  <c r="BX20" i="1"/>
  <c r="BX21" i="1"/>
  <c r="BX22" i="1"/>
  <c r="BX23" i="1"/>
  <c r="BX24" i="1"/>
  <c r="BX25" i="1"/>
  <c r="BX26" i="1"/>
  <c r="BX27" i="1"/>
  <c r="BX28" i="1"/>
  <c r="BX29" i="1"/>
  <c r="BX30" i="1"/>
  <c r="BX36" i="1"/>
  <c r="BX38" i="1"/>
  <c r="BX41" i="1"/>
  <c r="BX7" i="1"/>
  <c r="BX9" i="1"/>
  <c r="BY34" i="1" l="1"/>
  <c r="BY7" i="1"/>
  <c r="BY9" i="1"/>
  <c r="BY8" i="1"/>
  <c r="BZ1" i="1"/>
  <c r="BY3" i="1"/>
  <c r="BY4" i="1"/>
  <c r="BY5" i="1"/>
  <c r="BY6" i="1"/>
  <c r="BY13" i="1"/>
  <c r="BY14" i="1"/>
  <c r="BY15" i="1"/>
  <c r="BY17" i="1"/>
  <c r="BY18" i="1"/>
  <c r="BY35" i="1"/>
  <c r="BY36" i="1"/>
  <c r="BY38" i="1"/>
  <c r="BY40" i="1"/>
  <c r="BY10" i="1"/>
  <c r="BY12" i="1"/>
  <c r="BY19" i="1"/>
  <c r="BY33" i="1"/>
  <c r="BY42" i="1"/>
  <c r="BY20" i="1"/>
  <c r="BY21" i="1"/>
  <c r="BY22" i="1"/>
  <c r="BY23" i="1"/>
  <c r="BY24" i="1"/>
  <c r="BY32" i="1"/>
  <c r="BY41" i="1"/>
  <c r="BY11" i="1"/>
  <c r="BY16" i="1"/>
  <c r="BY39" i="1"/>
  <c r="BY25" i="1"/>
  <c r="BY26" i="1"/>
  <c r="BY27" i="1"/>
  <c r="BY28" i="1"/>
  <c r="BY29" i="1"/>
  <c r="BY30" i="1"/>
  <c r="BY31" i="1"/>
  <c r="BY37" i="1"/>
  <c r="BZ14" i="1" l="1"/>
  <c r="BZ3" i="1"/>
  <c r="BZ5" i="1"/>
  <c r="BZ13" i="1"/>
  <c r="BZ31" i="1"/>
  <c r="BZ37" i="1"/>
  <c r="BZ11" i="1"/>
  <c r="BZ17" i="1"/>
  <c r="BZ20" i="1"/>
  <c r="CA1" i="1"/>
  <c r="BZ4" i="1"/>
  <c r="BZ6" i="1"/>
  <c r="BZ16" i="1"/>
  <c r="BZ19" i="1"/>
  <c r="BZ34" i="1"/>
  <c r="BZ40" i="1"/>
  <c r="BZ42" i="1"/>
  <c r="BZ10" i="1"/>
  <c r="BZ12" i="1"/>
  <c r="BZ15" i="1"/>
  <c r="BZ18" i="1"/>
  <c r="BZ32" i="1"/>
  <c r="BZ36" i="1"/>
  <c r="BZ38" i="1"/>
  <c r="BZ41" i="1"/>
  <c r="BZ21" i="1"/>
  <c r="BZ22" i="1"/>
  <c r="BZ23" i="1"/>
  <c r="BZ24" i="1"/>
  <c r="BZ25" i="1"/>
  <c r="BZ26" i="1"/>
  <c r="BZ27" i="1"/>
  <c r="BZ28" i="1"/>
  <c r="BZ29" i="1"/>
  <c r="BZ30" i="1"/>
  <c r="BZ33" i="1"/>
  <c r="BZ35" i="1"/>
  <c r="BZ39" i="1"/>
  <c r="BZ8" i="1"/>
  <c r="BZ7" i="1"/>
  <c r="BZ9" i="1"/>
  <c r="CA3" i="1" l="1"/>
  <c r="CA6" i="1"/>
  <c r="CA17" i="1"/>
  <c r="CA18" i="1"/>
  <c r="CA32" i="1"/>
  <c r="CA33" i="1"/>
  <c r="CA35" i="1"/>
  <c r="CA39" i="1"/>
  <c r="CA10" i="1"/>
  <c r="CA4" i="1"/>
  <c r="CA15" i="1"/>
  <c r="CA12" i="1"/>
  <c r="CA14" i="1"/>
  <c r="CA16" i="1"/>
  <c r="CA19" i="1"/>
  <c r="CA31" i="1"/>
  <c r="CA40" i="1"/>
  <c r="CA20" i="1"/>
  <c r="CA21" i="1"/>
  <c r="CA22" i="1"/>
  <c r="CA23" i="1"/>
  <c r="CA24" i="1"/>
  <c r="CA25" i="1"/>
  <c r="CA26" i="1"/>
  <c r="CB1" i="1"/>
  <c r="CA5" i="1"/>
  <c r="CA13" i="1"/>
  <c r="CA11" i="1"/>
  <c r="CA27" i="1"/>
  <c r="CA28" i="1"/>
  <c r="CA29" i="1"/>
  <c r="CA30" i="1"/>
  <c r="CA34" i="1"/>
  <c r="CA36" i="1"/>
  <c r="CA37" i="1"/>
  <c r="CA38" i="1"/>
  <c r="CA41" i="1"/>
  <c r="CA42" i="1"/>
  <c r="CA7" i="1"/>
  <c r="CA9" i="1"/>
  <c r="CA8" i="1"/>
  <c r="CC1" i="1" l="1"/>
  <c r="CB3" i="1"/>
  <c r="CB4" i="1"/>
  <c r="CB5" i="1"/>
  <c r="CB6" i="1"/>
  <c r="CB13" i="1"/>
  <c r="CB14" i="1"/>
  <c r="CB15" i="1"/>
  <c r="CB16" i="1"/>
  <c r="CB18" i="1"/>
  <c r="CB19" i="1"/>
  <c r="CB31" i="1"/>
  <c r="CB34" i="1"/>
  <c r="CB36" i="1"/>
  <c r="CB38" i="1"/>
  <c r="CB40" i="1"/>
  <c r="CB41" i="1"/>
  <c r="CB10" i="1"/>
  <c r="CB11" i="1"/>
  <c r="CB12" i="1"/>
  <c r="CB17" i="1"/>
  <c r="CB37" i="1"/>
  <c r="CB42" i="1"/>
  <c r="CB20" i="1"/>
  <c r="CB21" i="1"/>
  <c r="CB22" i="1"/>
  <c r="CB23" i="1"/>
  <c r="CB24" i="1"/>
  <c r="CB25" i="1"/>
  <c r="CB26" i="1"/>
  <c r="CB27" i="1"/>
  <c r="CB28" i="1"/>
  <c r="CB29" i="1"/>
  <c r="CB30" i="1"/>
  <c r="CB32" i="1"/>
  <c r="CB33" i="1"/>
  <c r="CB35" i="1"/>
  <c r="CB39" i="1"/>
  <c r="CB8" i="1"/>
  <c r="CB7" i="1"/>
  <c r="CB9" i="1"/>
  <c r="CD1" i="1" l="1"/>
  <c r="CC3" i="1"/>
  <c r="CC4" i="1"/>
  <c r="CC5" i="1"/>
  <c r="CC6" i="1"/>
  <c r="CC13" i="1"/>
  <c r="CC17" i="1"/>
  <c r="CC30" i="1"/>
  <c r="CC32" i="1"/>
  <c r="CC35" i="1"/>
  <c r="CC39" i="1"/>
  <c r="CC10" i="1"/>
  <c r="CC11" i="1"/>
  <c r="CC12" i="1"/>
  <c r="CC14" i="1"/>
  <c r="CC15" i="1"/>
  <c r="CC16" i="1"/>
  <c r="CC18" i="1"/>
  <c r="CC19" i="1"/>
  <c r="CC33" i="1"/>
  <c r="CC40" i="1"/>
  <c r="CC20" i="1"/>
  <c r="CC21" i="1"/>
  <c r="CC22" i="1"/>
  <c r="CC23" i="1"/>
  <c r="CC24" i="1"/>
  <c r="CC25" i="1"/>
  <c r="CC26" i="1"/>
  <c r="CC27" i="1"/>
  <c r="CC28" i="1"/>
  <c r="CC29" i="1"/>
  <c r="CC31" i="1"/>
  <c r="CC34" i="1"/>
  <c r="CC36" i="1"/>
  <c r="CC37" i="1"/>
  <c r="CC38" i="1"/>
  <c r="CC41" i="1"/>
  <c r="CC42" i="1"/>
  <c r="CC7" i="1"/>
  <c r="CC8" i="1"/>
  <c r="CC9" i="1"/>
  <c r="CE1" i="1" l="1"/>
  <c r="CD3" i="1"/>
  <c r="CD4" i="1"/>
  <c r="CD5" i="1"/>
  <c r="CD6" i="1"/>
  <c r="CD13" i="1"/>
  <c r="CD14" i="1"/>
  <c r="CD15" i="1"/>
  <c r="CD16" i="1"/>
  <c r="CD17" i="1"/>
  <c r="CD18" i="1"/>
  <c r="CD19" i="1"/>
  <c r="CD33" i="1"/>
  <c r="CD34" i="1"/>
  <c r="CD37" i="1"/>
  <c r="CD38" i="1"/>
  <c r="CD40" i="1"/>
  <c r="CD42" i="1"/>
  <c r="CD10" i="1"/>
  <c r="CD11" i="1"/>
  <c r="CD12" i="1"/>
  <c r="CD31" i="1"/>
  <c r="CD32" i="1"/>
  <c r="CD35" i="1"/>
  <c r="CD36" i="1"/>
  <c r="CD39" i="1"/>
  <c r="CD41" i="1"/>
  <c r="CD20" i="1"/>
  <c r="CD21" i="1"/>
  <c r="CD22" i="1"/>
  <c r="CD23" i="1"/>
  <c r="CD24" i="1"/>
  <c r="CD25" i="1"/>
  <c r="CD26" i="1"/>
  <c r="CD27" i="1"/>
  <c r="CD28" i="1"/>
  <c r="CD29" i="1"/>
  <c r="CD30" i="1"/>
  <c r="CD8" i="1"/>
  <c r="CD7" i="1"/>
  <c r="CD9" i="1"/>
  <c r="CF1" i="1" l="1"/>
  <c r="CE3" i="1"/>
  <c r="CE4" i="1"/>
  <c r="CE5" i="1"/>
  <c r="CE6" i="1"/>
  <c r="CE13" i="1"/>
  <c r="CE19" i="1"/>
  <c r="CE31" i="1"/>
  <c r="CE41" i="1"/>
  <c r="CE10" i="1"/>
  <c r="CE11" i="1"/>
  <c r="CE12" i="1"/>
  <c r="CE30" i="1"/>
  <c r="CE36" i="1"/>
  <c r="CE14" i="1"/>
  <c r="CE15" i="1"/>
  <c r="CE16" i="1"/>
  <c r="CE17" i="1"/>
  <c r="CE18" i="1"/>
  <c r="CE38" i="1"/>
  <c r="CE40" i="1"/>
  <c r="CE20" i="1"/>
  <c r="CE21" i="1"/>
  <c r="CE22" i="1"/>
  <c r="CE23" i="1"/>
  <c r="CE24" i="1"/>
  <c r="CE25" i="1"/>
  <c r="CE26" i="1"/>
  <c r="CE27" i="1"/>
  <c r="CE28" i="1"/>
  <c r="CE29" i="1"/>
  <c r="CE32" i="1"/>
  <c r="CE33" i="1"/>
  <c r="CE34" i="1"/>
  <c r="CE35" i="1"/>
  <c r="CE37" i="1"/>
  <c r="CE39" i="1"/>
  <c r="CE42" i="1"/>
  <c r="CE7" i="1"/>
  <c r="CE8" i="1"/>
  <c r="CE9" i="1"/>
  <c r="CF19" i="1" l="1"/>
  <c r="CF21" i="1"/>
  <c r="CF25" i="1"/>
  <c r="CF31" i="1"/>
  <c r="CF38" i="1"/>
  <c r="CF7" i="1"/>
  <c r="CF9" i="1"/>
  <c r="CG1" i="1"/>
  <c r="CF3" i="1"/>
  <c r="CF4" i="1"/>
  <c r="CF5" i="1"/>
  <c r="CF6" i="1"/>
  <c r="CF13" i="1"/>
  <c r="CF14" i="1"/>
  <c r="CF15" i="1"/>
  <c r="CF16" i="1"/>
  <c r="CF17" i="1"/>
  <c r="CF18" i="1"/>
  <c r="CF32" i="1"/>
  <c r="CF33" i="1"/>
  <c r="CF34" i="1"/>
  <c r="CF42" i="1"/>
  <c r="CF22" i="1"/>
  <c r="CF26" i="1"/>
  <c r="CF29" i="1"/>
  <c r="CF35" i="1"/>
  <c r="CF37" i="1"/>
  <c r="CF39" i="1"/>
  <c r="CF40" i="1"/>
  <c r="CF10" i="1"/>
  <c r="CF11" i="1"/>
  <c r="CF12" i="1"/>
  <c r="CF23" i="1"/>
  <c r="CF27" i="1"/>
  <c r="CF30" i="1"/>
  <c r="CF41" i="1"/>
  <c r="CF8" i="1"/>
  <c r="CF20" i="1"/>
  <c r="CF24" i="1"/>
  <c r="CF28" i="1"/>
  <c r="CF36" i="1"/>
  <c r="CH1" i="1" l="1"/>
  <c r="CG3" i="1"/>
  <c r="CG4" i="1"/>
  <c r="CG5" i="1"/>
  <c r="CG6" i="1"/>
  <c r="CG13" i="1"/>
  <c r="CG19" i="1"/>
  <c r="CG31" i="1"/>
  <c r="CG38" i="1"/>
  <c r="CG41" i="1"/>
  <c r="CG10" i="1"/>
  <c r="CG11" i="1"/>
  <c r="CG12" i="1"/>
  <c r="CG14" i="1"/>
  <c r="CG15" i="1"/>
  <c r="CG16" i="1"/>
  <c r="CG17" i="1"/>
  <c r="CG18" i="1"/>
  <c r="CG30" i="1"/>
  <c r="CG32" i="1"/>
  <c r="CG33" i="1"/>
  <c r="CG36" i="1"/>
  <c r="CG37" i="1"/>
  <c r="CG40" i="1"/>
  <c r="CG20" i="1"/>
  <c r="CG21" i="1"/>
  <c r="CG22" i="1"/>
  <c r="CG23" i="1"/>
  <c r="CG24" i="1"/>
  <c r="CG25" i="1"/>
  <c r="CG26" i="1"/>
  <c r="CG27" i="1"/>
  <c r="CG28" i="1"/>
  <c r="CG29" i="1"/>
  <c r="CG34" i="1"/>
  <c r="CG35" i="1"/>
  <c r="CG39" i="1"/>
  <c r="CG42" i="1"/>
  <c r="CG7" i="1"/>
  <c r="CG8" i="1"/>
  <c r="CG9" i="1"/>
  <c r="CI1" i="1" l="1"/>
  <c r="CH13" i="1"/>
  <c r="CH3" i="1"/>
  <c r="CH4" i="1"/>
  <c r="CH5" i="1"/>
  <c r="CH6" i="1"/>
  <c r="CH14" i="1"/>
  <c r="CH15" i="1"/>
  <c r="CH16" i="1"/>
  <c r="CH17" i="1"/>
  <c r="CH18" i="1"/>
  <c r="CH30" i="1"/>
  <c r="CH34" i="1"/>
  <c r="CH40" i="1"/>
  <c r="CH42" i="1"/>
  <c r="CH10" i="1"/>
  <c r="CH11" i="1"/>
  <c r="CH12" i="1"/>
  <c r="CH19" i="1"/>
  <c r="CH31" i="1"/>
  <c r="CH35" i="1"/>
  <c r="CH38" i="1"/>
  <c r="CH39" i="1"/>
  <c r="CH41" i="1"/>
  <c r="CH20" i="1"/>
  <c r="CH21" i="1"/>
  <c r="CH22" i="1"/>
  <c r="CH23" i="1"/>
  <c r="CH24" i="1"/>
  <c r="CH25" i="1"/>
  <c r="CH26" i="1"/>
  <c r="CH27" i="1"/>
  <c r="CH28" i="1"/>
  <c r="CH29" i="1"/>
  <c r="CH32" i="1"/>
  <c r="CH33" i="1"/>
  <c r="CH36" i="1"/>
  <c r="CH37" i="1"/>
  <c r="CH8" i="1"/>
  <c r="CH7" i="1"/>
  <c r="CH9" i="1"/>
  <c r="CJ1" i="1" l="1"/>
  <c r="CI3" i="1"/>
  <c r="CI4" i="1"/>
  <c r="CI5" i="1"/>
  <c r="CI6" i="1"/>
  <c r="CI13" i="1"/>
  <c r="CI14" i="1"/>
  <c r="CI16" i="1"/>
  <c r="CI19" i="1"/>
  <c r="CI33" i="1"/>
  <c r="CI39" i="1"/>
  <c r="CI15" i="1"/>
  <c r="CI18" i="1"/>
  <c r="CI32" i="1"/>
  <c r="CI35" i="1"/>
  <c r="CI36" i="1"/>
  <c r="CI37" i="1"/>
  <c r="CI40" i="1"/>
  <c r="CI10" i="1"/>
  <c r="CI11" i="1"/>
  <c r="CI12" i="1"/>
  <c r="CI17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4" i="1"/>
  <c r="CI38" i="1"/>
  <c r="CI41" i="1"/>
  <c r="CI42" i="1"/>
  <c r="CI8" i="1"/>
  <c r="CI7" i="1"/>
  <c r="CI9" i="1"/>
  <c r="CJ20" i="1" l="1"/>
  <c r="CJ40" i="1"/>
  <c r="CK1" i="1"/>
  <c r="CJ3" i="1"/>
  <c r="CJ4" i="1"/>
  <c r="CJ5" i="1"/>
  <c r="CJ6" i="1"/>
  <c r="CJ13" i="1"/>
  <c r="CJ17" i="1"/>
  <c r="CJ19" i="1"/>
  <c r="CJ30" i="1"/>
  <c r="CJ31" i="1"/>
  <c r="CJ34" i="1"/>
  <c r="CJ38" i="1"/>
  <c r="CJ41" i="1"/>
  <c r="CJ10" i="1"/>
  <c r="CJ11" i="1"/>
  <c r="CJ12" i="1"/>
  <c r="CJ14" i="1"/>
  <c r="CJ15" i="1"/>
  <c r="CJ16" i="1"/>
  <c r="CJ18" i="1"/>
  <c r="CJ37" i="1"/>
  <c r="CJ21" i="1"/>
  <c r="CJ23" i="1"/>
  <c r="CJ24" i="1"/>
  <c r="CJ26" i="1"/>
  <c r="CJ27" i="1"/>
  <c r="CJ28" i="1"/>
  <c r="CJ29" i="1"/>
  <c r="CJ32" i="1"/>
  <c r="CJ33" i="1"/>
  <c r="CJ35" i="1"/>
  <c r="CJ36" i="1"/>
  <c r="CJ39" i="1"/>
  <c r="CJ8" i="1"/>
  <c r="CJ7" i="1"/>
  <c r="CJ9" i="1"/>
  <c r="CJ42" i="1"/>
  <c r="CJ22" i="1"/>
  <c r="CJ25" i="1"/>
  <c r="CK3" i="1" l="1"/>
  <c r="CK4" i="1"/>
  <c r="CK5" i="1"/>
  <c r="CK6" i="1"/>
  <c r="CK13" i="1"/>
  <c r="CK14" i="1"/>
  <c r="CK15" i="1"/>
  <c r="CK16" i="1"/>
  <c r="CK18" i="1"/>
  <c r="CK32" i="1"/>
  <c r="CK33" i="1"/>
  <c r="CK36" i="1"/>
  <c r="CK37" i="1"/>
  <c r="CK40" i="1"/>
  <c r="CK42" i="1"/>
  <c r="CK10" i="1"/>
  <c r="CK11" i="1"/>
  <c r="CK12" i="1"/>
  <c r="CK17" i="1"/>
  <c r="CK19" i="1"/>
  <c r="CK35" i="1"/>
  <c r="CK3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4" i="1"/>
  <c r="CK38" i="1"/>
  <c r="CK41" i="1"/>
  <c r="CK8" i="1"/>
  <c r="CK7" i="1"/>
  <c r="CK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</futureMetadata>
  <cellMetadata count="1">
    <bk>
      <rc t="1" v="0"/>
    </bk>
  </cellMetadata>
  <valueMetadata count="2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re
d=xl(%P2%,headers=True)
# Outputs spill consecutively from row 3, so task inputs must be consecutive.
present=d["TaskID"].notna()
populated=d.astype(object).where(d.notna(),"").astype(str).apply(lambda c:c.str.strip().ne("")).any(axis=1)
missing=populated &amp; ~present
if missing.any():
    raise ValueError("Missing TaskID on input row(s): "+", ".join(str(i+3) for i in np.flatnonzero(missing.to_numpy())))
positions=np.flatnonzero(present.to_numpy())
if len(positions) and not present.iloc[:positions[-1]+1].all():
    raise ValueError("Remove blank task-row gaps: enter tasks consecutively from row 3")
if len(positions)&gt;100:
    raise ValueError("This template displays at most 100 task rows; shorten the schedule or use a larger scheduling tool")
d=d.dropna(subset=["TaskID"]).copy()
if d.empty:
    raise ValueError("Enter at least one task")
d["TaskID"]=d["TaskID"].astype(str).str.strip()
if d["TaskID"].eq("").any():
    raise ValueError("TaskID cannot be whitespace")
d["TaskType"]=d["TaskType"].fillna("Activity").astype(str).str.strip().str.capitalize()
raw_duration=d["Duration"]
number_duration=pd.to_numeric(raw_duration,errors="coerce")
nonblank=raw_duration.notna() &amp; raw_duration.astype(str).str.strip().ne("")
bad_duration=nonblank &amp; (number_duration.isna() | ~np.isfinite(number_duration) | number_duration.lt(0))
if bad_duration.any():
    raise ValueError("Duration must be a finite nonnegative number for: "+", ".join(d.loc[bad_duration,"TaskID"]))
d["Duration"]=number_duration.fillna(0)
d["Predecessors"]=d["Predecessors"].fillna("").astype(str).str.strip()
T=d["TaskID"].tolist()
typ=dict(zip(T,d["TaskType"]))
rawdur=dict(zip(T,d["Duration"]))
valid_types={"Activity","Milestone","Summary"}
bad_types=[t for t in T if typ[t] not in valid_types]
if bad_types:
    raise ValueError("Invalid TaskType for: "+", ".join(bad_types))
if len(T)!=len(set(T)):
    raise ValueError("Duplicate TaskID found")
dur={
    t:0.0 if typ[t] in ("Milestone","Summary") else float(rawdur[t])
    for t in T
}
dates=pd.to_datetime(d["Constraints"],errors="coerce",dayfirst=True)
nonblank_date=d["Constraints"].notna() &amp; d["Constraints"].astype(str).str.strip().ne("")
bad_date=nonblank_date &amp; dates.isna()
if bad_date.any():
    raise ValueError("Invalid Constraint date for: "+", ".join(d.loc[bad_date,"TaskID"]))
valid=dates.dropna()
if valid.empty:
    raise ValueError("At least one Constraint date is required")
origin=valid.min().normalize()
fix={}
for i,r in d.iterrows():
    x=dates.loc[i]
    fix[r["TaskID"]]=(
        None
        if pd.isna(x)
        else (x.normalize()-origin).days/7
    )
pred={t:[] for t in T}
succ={t:[] for t in T}
pat=re.compile(
    r"^\s*(\S+)\s+(FS|SS|FF|SF)"
    r"(?:\s*([+-])\s*(\d+(?:\.\d+)?))?\s*$",
    re.I
)
for r in d.itertuples():
    if not r.Predecessors:
        continue
    for text in r.Predecessors.split(","):
        text=text.strip()
        m=pat.match(text)
        if not m:
            raise ValueError("Invalid predecessor: "+text)
        p,rel,sg,n=m.groups()
        rel=rel.upper()
        if p not in T:
            raise ValueError("Unknown predecessor: "+p)
        if typ[p]=="Summary":
            raise ValueError(r.TaskID+" cannot depend on Summary task "+p)
        if p==r.TaskID:
            raise ValueError("Task cannot depend on itself: "+p)
        lag=float(n or 0)
        if sg=="-":
            lag=-lag
        pred[r.TaskID].append((p,rel,lag))
        if typ[r.TaskID]!="Summary":
            succ[p].append((r.TaskID,rel,lag))
for t in T:
    if typ[t]=="Summary":
        invalid=[rel for p,rel,lag in pred[t] if rel not in ("SS","FF")]
        if invalid:
            raise ValueError(
                t+" Summary only supports SS and FF anchors"
            )
# Reject all dependency cycles, including zero-lag SS cycles.
degree={t:len(pred[t]) for t in T}
following={t:[] for t in T}
for t in T:
    for p,rel,lag in pred[t]:
        following[p].append(t)
ready=[t for t in T if degree[t]==0]
for p in ready:
    for t in following[p]:
        degree[t]-=1
        if degree[t]==0:
            ready.append(t)
if len(ready)!=len(T):
    raise ValueError("Dependency cycle detected; check: "+", ".join(t for t in T if degree[t]&gt;0))
if all(typ[t]=="Summary" for t in T):
    raise ValueError("Enter at least one Activity or Milestone")
(T,typ,dur,fix,pred,succ,origin)</code>
    </pythonScript>
    <pythonScript>
      <code>T,typ,dur,fix,pred,succ,origin=xl(%P2%)
REG=[t for t in T if typ[t]!="Summary"]
SUM=[t for t in T if typ[t]=="Summary"]
ES={t:0.0 for t in T}
EF={t:dur[t] for t in T}
CD=dur.copy()
lim=max(10,len(T)*4)
for _ in range(lim):
    ch=False
    for t in REG:
        s=0.0
        for p,r,l in pred[t]:
            if typ[p]=="Summary":
                raise ValueError(
                    t+" cannot depend on Summary task "+p
                )
            if r=="FS":
                x=EF[p]+l
            elif r=="SS":
                x=ES[p]+l
            elif r=="FF":
                x=EF[p]+l-dur[t]
            else:
                x=ES[p]+l-dur[t]
            s=max(s,x)
        if fix[t] is not None:
            s=fix[t]
        f=s+dur[t]
        if s!=ES[t] or f!=EF[t]:
            ES[t],EF[t]=s,f
            ch=True
    if not ch:
        break
else:
    raise ValueError(
        "Forward pass did not converge; check dependency cycles"
    )
# Keep fixed-start overrides, but expose violated ties in worksheet output.
WARN={t:[] for t in T}
for t in REG:
    for p,r,l in pred[t]:
        left,right=(ES[t],EF[p]+l) if r=="FS" else (ES[t],ES[p]+l) if r=="SS" else (EF[t],EF[p]+l) if r=="FF" else (EF[t],ES[p]+l)
        if left+1e-9&lt;right:
            WARN[t].append(t+": fixed start conflicts with "+p+" "+r+" (shortfall "+str(round(right-left,4))+" weeks)")
PF=max(EF[t] for t in REG)
LF={t:PF for t in T}
LS={t:PF-dur[t] for t in T}
for _ in range(lim):
    ch=False
    for t in reversed(REG):
        f=PF
        for s,r,l in succ[t]:
            if r=="FS":
                x=LS[s]-l
            elif r=="SS":
                x=LS[s]-l+dur[t]
            elif r=="FF":
                x=LF[s]-l
            else:
                x=LF[s]-l+dur[t]
            f=min(f,x)
        s=f-dur[t]
        if s!=LS[t] or f!=LF[t]:
            LS[t],LF[t]=s,f
            ch=True
    if not ch:
        break
else:
    raise ValueError("Backward pass did not converge; check schedule inputs")
for t in SUM:
    ss=[
        ES[p]+l
        for p,r,l in pred[t]
        if r=="SS"
    ]
    ff=[
        EF[p]+l
        for p,r,l in pred[t]
        if r=="FF"
    ]
    if not ss:
        raise ValueError(
            t+" Summary requires at least one SS anchor"
        )
    if not ff:
        raise ValueError(
            t+" Summary requires at least one FF anchor"
        )
    ES[t]=min(ss)
    EF[t]=max(ff)
    if EF[t]&lt;ES[t]:
        raise ValueError(
            t+" Summary finish is before its start"
        )
    CD[t]=EF[t]-ES[t]
    LS[t]=ES[t]
    LF[t]=EF[t]
TFF={
    t:"" if typ[t]=="Summary" else round(LF[t]-EF[t],4)
    for t in T
}
CRIT={
    t:False
    if typ[t]=="Summary"
    else TFF[t]&lt;=0.001
    for t in T
}
START={
    t:origin+pd.Timedelta(weeks=ES[t])
    for t in T
}
FINISH={
    t:origin+pd.Timedelta(weeks=EF[t])
    for t in T
}
# Free float: move this task without moving successor early dates.
# The current project finish is an implicit bound for every ordinary task.
# Keep negative slack visible when fixed starts contradict relationships.
FREE={}
for t in T:
    if typ[t]=="Summary":
        FREE[t]=""
        continue
    slack=[PF-EF[t]]
    for s,r,l in succ[t]:
        x=(ES[s]-EF[t]-l if r=="FS" else
           ES[s]-ES[t]-l if r=="SS" else
           EF[s]-EF[t]-l if r=="FF" else
           EF[s]-ES[t]-l)
        slack.append(x)
    FREE[t]=round(min(slack),4)
(T,typ,CD,ES,EF,START,FINISH,TFF,CRIT,WARN,LS,LF,FREE)</code>
    </pythonScript>
    <pythonScript>
      <code>T,typ,CD,ES,EF,START,FINISH,TFF,CRIT,WARN,LS,LF,FREE=xl(%P2%)
pd.DataFrame({
    "CalcDuration":[round(CD[t],4) for t in T],
    "Start":[START[t] for t in T],
    "Finish":[FINISH[t] for t in T],
    "EarlyStart":[round(ES[t],4) for t in T],
    "EarlyFinish":[round(EF[t],4) for t in T],
        "LateStart":["" if typ[t]=="Summary" else round(LS[t],4) for t in T],
    "LateFinish":["" if typ[t]=="Summary" else round(LF[t],4) for t in T],
    "FreeFloat":[FREE[t] for t in T],
    "TotalFinishFloat":[TFF[t] for t in T],
    "IsCritical":[CRIT[t] for t in T]
})</code>
    </pythonScript>
    <pythonScript>
      <code>schedule=xl(%P2%)
pd.DataFrame({"ScheduleWarning":["; ".join(schedule[9][t]) for t in schedule[0]]})</code>
    </pythonScript>
  </pythonScripts>
</python>
</file>

<file path=xl/sharedStrings.xml><?xml version="1.0" encoding="utf-8"?>
<sst xmlns="http://schemas.openxmlformats.org/spreadsheetml/2006/main" count="216" uniqueCount="188">
  <si>
    <t>TaskID</t>
  </si>
  <si>
    <t>TaskType</t>
  </si>
  <si>
    <t>Predecessors</t>
  </si>
  <si>
    <t>Constraints</t>
  </si>
  <si>
    <t>Duration</t>
  </si>
  <si>
    <t>TaskTitle</t>
  </si>
  <si>
    <t>TaskDescription</t>
  </si>
  <si>
    <t>Activity</t>
  </si>
  <si>
    <t>Progress</t>
  </si>
  <si>
    <t>Milestone</t>
  </si>
  <si>
    <t>Stage</t>
  </si>
  <si>
    <t>001 FS</t>
  </si>
  <si>
    <t>026 FS-2</t>
  </si>
  <si>
    <t>Key Planning Assumptions</t>
  </si>
  <si>
    <t>#</t>
  </si>
  <si>
    <t>Description</t>
  </si>
  <si>
    <t>Python-Integrated Critical Path &amp; Gantt Scheduler</t>
  </si>
  <si>
    <t>This workbook provides a lightweight project scheduling model using Python in Excel and Critical Path Method (CPM) logic.</t>
  </si>
  <si>
    <t>Enter task durations, dependencies, progress and fixed-date constraints in the Workplan tab. The scheduling engine calculates task dates, finish float and the critical path, while the weekly Gantt provides a visual view of the resulting schedule.</t>
  </si>
  <si>
    <t>1. WORKPLAN INPUTS</t>
  </si>
  <si>
    <t>Unique identifier for each task, milestone or summary task. TaskIDs must be unique and are used when defining predecessor relationships.</t>
  </si>
  <si>
    <t>Use one of three values:</t>
  </si>
  <si>
    <t>• Activity – A normal scheduled activity with a defined duration.</t>
  </si>
  <si>
    <t>• Milestone – A zero-duration event occurring on a single date.</t>
  </si>
  <si>
    <t>• Summary – A hammock task whose Start, Finish and CalcDuration are dynamically determined from other tasks.</t>
  </si>
  <si>
    <t>Task duration in weeks.</t>
  </si>
  <si>
    <t>Enter a nonnegative duration for Activities. Blank durations retain the original zero-duration convention.</t>
  </si>
  <si>
    <t>• Milestones have zero duration.</t>
  </si>
  <si>
    <t>• Summary duration is calculated automatically from its SS and FF anchors.</t>
  </si>
  <si>
    <t>Current task completion percentage, for information only. Progress does not affect dates or float.</t>
  </si>
  <si>
    <t>Enter as a percentage or decimal, for example 50% or 0.5.</t>
  </si>
  <si>
    <t>Defines the scheduling relationships between tasks.</t>
  </si>
  <si>
    <t>Supported relationships:</t>
  </si>
  <si>
    <t>• FS – Finish-to-Start</t>
  </si>
  <si>
    <t>• SS – Start-to-Start</t>
  </si>
  <si>
    <t>• FF – Finish-to-Finish</t>
  </si>
  <si>
    <t>Multiple predecessors are separated by commas.</t>
  </si>
  <si>
    <t>Examples:</t>
  </si>
  <si>
    <t>002 FS, 003 FS</t>
  </si>
  <si>
    <t>008 SS+2</t>
  </si>
  <si>
    <t>Positive and negative lags are expressed in weeks.</t>
  </si>
  <si>
    <t>Optional fixed Start date.</t>
  </si>
  <si>
    <t>When populated, the Constraint establishes the task’s Start date rather than allowing predecessor logic alone to determine it.</t>
  </si>
  <si>
    <t>Constraints override early starts only. Late dates and float are not pinned to fixed dates; positive float is not permission to miss a fixed date.</t>
  </si>
  <si>
    <t>2. SUMMARY / HAMMOCK TASKS</t>
  </si>
  <si>
    <t>Summary tasks represent the elapsed window between underlying activities.</t>
  </si>
  <si>
    <t>Leave Duration blank or zero and define the boundaries through the Predecessors field.</t>
  </si>
  <si>
    <t>Example:</t>
  </si>
  <si>
    <t>001 SS, 005 FF</t>
  </si>
  <si>
    <t>This means:</t>
  </si>
  <si>
    <t>• Summary Start = Start of 001</t>
  </si>
  <si>
    <t>• Summary Finish = Finish of 005</t>
  </si>
  <si>
    <t>• CalcDuration = Summary Finish minus Summary Start</t>
  </si>
  <si>
    <t>Multiple SS and FF anchors can be provided. The Summary uses the earliest SS boundary and latest FF boundary.</t>
  </si>
  <si>
    <t>Summaries are visual groupings, excluded from criticality. Their anchors must be Activities or Milestones; nested Summaries are not supported.</t>
  </si>
  <si>
    <t>3. CALCULATED SCHEDULE FIELDS</t>
  </si>
  <si>
    <t>The following fields are generated by the Python scheduling engine and should not be manually edited.</t>
  </si>
  <si>
    <t>CalcDuration</t>
  </si>
  <si>
    <t>Calculated duration in weeks.</t>
  </si>
  <si>
    <t>For Activities, this normally equals Duration. For Summary tasks, it represents the dynamically calculated hammock span.</t>
  </si>
  <si>
    <t>Start / Finish</t>
  </si>
  <si>
    <t>Calculated calendar Start and Finish dates based on predecessor relationships, durations and any applicable fixed constraints.</t>
  </si>
  <si>
    <t>EarlyStart / EarlyFinish</t>
  </si>
  <si>
    <t>Underlying CPM schedule positions expressed as elapsed weeks from the scheduling origin.</t>
  </si>
  <si>
    <t>These primarily support the scheduling calculation rather than normal user interpretation.</t>
  </si>
  <si>
    <t>TotalFinishFloat</t>
  </si>
  <si>
    <t>Calculated as Late Finish minus Early Finish.</t>
  </si>
  <si>
    <t>LateStart / LateFinish (V:W) are week offsets for activities and milestones. TotalFinishFloat = LateFinish - EarlyFinish = LateStart - EarlyStart. FreeFloat (X) respects dependency endpoints/lags and the current project finish. Hammocks have blank late dates/float. Negative values flag conflicts. Fixed dates remain forward-only overrides.</t>
  </si>
  <si>
    <t>• 0 = Critical Path</t>
  </si>
  <si>
    <t>Greater than 0 = float relative to the calculated project finish, subject to the fixed-date limitation.</t>
  </si>
  <si>
    <t>• Less than 0 = negative float / schedule conflict</t>
  </si>
  <si>
    <t>Activities and Milestones participate in float/criticality analysis. Summary tasks do not.</t>
  </si>
  <si>
    <t>IsCritical</t>
  </si>
  <si>
    <t>Flags Activities and Milestones whose TotalFinishFloat is effectively zero or negative.</t>
  </si>
  <si>
    <t>A negative-float flag can indicate a conflict. Milestones still use the diamond chart symbol regardless of their critical flag.</t>
  </si>
  <si>
    <t>4. WEEKLY GANTT</t>
  </si>
  <si>
    <t>The weekly Gantt is generated from the calculated Start and Finish dates.</t>
  </si>
  <si>
    <t>Each column represents one week. The chart displays 63 weeks from the earliest task start; longer schedules can continue beyond the visible chart.</t>
  </si>
  <si>
    <t>Symbols mean:</t>
  </si>
  <si>
    <t>Activities and Summaries appear in each weekly column that overlaps their calculated Start-to-Finish period.</t>
  </si>
  <si>
    <t>Milestones appear once in the week containing their milestone date.</t>
  </si>
  <si>
    <t>5. USING THE WORKBOOK</t>
  </si>
  <si>
    <t>When changing dependency logic, use valid TaskIDs and relationship syntax consistently.</t>
  </si>
  <si>
    <t>Enter up to 100 tasks consecutively from row 3. Do not leave gaps or sort input/output columns together. Trailing blank rows are allowed.</t>
  </si>
  <si>
    <t>Enter Duration, Predecessors and any fixed Constraints.</t>
  </si>
  <si>
    <t>Allow Python in Excel to recalculate the schedule.</t>
  </si>
  <si>
    <t>Review the weekly Gantt for sequencing, overlaps, milestones, Summary spans and Critical Path Activities.</t>
  </si>
  <si>
    <t>Review dates and float, the Workplan status banner, and ScheduleWarning in column CL. Do not use cached outputs after a Python error.</t>
  </si>
  <si>
    <t>6. IMPORTANT NOTES</t>
  </si>
  <si>
    <t>Task Grouping A</t>
  </si>
  <si>
    <t>Task Grouping B</t>
  </si>
  <si>
    <t>Task Grouping C</t>
  </si>
  <si>
    <t>Task Grouping D</t>
  </si>
  <si>
    <t>Build a house</t>
  </si>
  <si>
    <t xml:space="preserve"> PREPARE SITE</t>
  </si>
  <si>
    <t xml:space="preserve"> ERECT HOARDING</t>
  </si>
  <si>
    <t xml:space="preserve"> EXCAVATE FOUNDATION</t>
  </si>
  <si>
    <t xml:space="preserve"> LAY DRAINS</t>
  </si>
  <si>
    <t xml:space="preserve"> CONCRETE FOUNDATION</t>
  </si>
  <si>
    <t xml:space="preserve"> BRICKWORK</t>
  </si>
  <si>
    <t xml:space="preserve"> INSTALL WINDOWS</t>
  </si>
  <si>
    <t xml:space="preserve"> ROOF TRUSSES</t>
  </si>
  <si>
    <t xml:space="preserve"> ROUGH PLUMBING &amp; ELECTRIC</t>
  </si>
  <si>
    <t xml:space="preserve"> ROOF FINISH</t>
  </si>
  <si>
    <t xml:space="preserve"> LANDSCAPING</t>
  </si>
  <si>
    <t xml:space="preserve"> PLASTER WALLS</t>
  </si>
  <si>
    <t xml:space="preserve"> FINISH ELECTRICS</t>
  </si>
  <si>
    <t xml:space="preserve"> FINISH PLUMBING</t>
  </si>
  <si>
    <t xml:space="preserve"> DECORATE</t>
  </si>
  <si>
    <t xml:space="preserve"> CLEAN DOWN</t>
  </si>
  <si>
    <t xml:space="preserve"> SNAGGING</t>
  </si>
  <si>
    <t>Summary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</si>
  <si>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</si>
  <si>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</si>
  <si>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</si>
  <si>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</si>
  <si>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</si>
  <si>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</si>
  <si>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</si>
  <si>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</si>
  <si>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</si>
  <si>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</si>
  <si>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</si>
  <si>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</si>
  <si>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</si>
  <si>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</si>
  <si>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</si>
  <si>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</si>
  <si>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</si>
  <si>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</si>
  <si>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</si>
  <si>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</si>
  <si>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</si>
  <si>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</si>
  <si>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WALL A</t>
  </si>
  <si>
    <t>WALL B</t>
  </si>
  <si>
    <t>WALL C</t>
  </si>
  <si>
    <t>0230</t>
  </si>
  <si>
    <t>Build Complete</t>
  </si>
  <si>
    <t>Start Build</t>
  </si>
  <si>
    <t>0020 FS</t>
  </si>
  <si>
    <t>0030 FS</t>
  </si>
  <si>
    <t>0040 FS</t>
  </si>
  <si>
    <t>0050 FS,0060 FS</t>
  </si>
  <si>
    <t>0070 FS</t>
  </si>
  <si>
    <t>0080 FS,0090 FS</t>
  </si>
  <si>
    <t>0110 FS,0120 FS</t>
  </si>
  <si>
    <t>0150 FS+3</t>
  </si>
  <si>
    <t>0160 FS+2</t>
  </si>
  <si>
    <t>0180 FS, 0190 FS</t>
  </si>
  <si>
    <t>0200 FS</t>
  </si>
  <si>
    <t>0130 FS ,0210 FS</t>
  </si>
  <si>
    <t>0220 FS</t>
  </si>
  <si>
    <t>0020 SS,0230 FF</t>
  </si>
  <si>
    <t>0100 FS</t>
  </si>
  <si>
    <t>0150 SS</t>
  </si>
  <si>
    <t>0170 FS</t>
  </si>
  <si>
    <t>0150 SS,0170 FF</t>
  </si>
  <si>
    <t>0100 SS+2</t>
  </si>
  <si>
    <t>0080 SS+2</t>
  </si>
  <si>
    <t>X  Activity with effectively zero or negative float; inspect negative float and constraint warnings.</t>
  </si>
  <si>
    <t>◆  Milestone</t>
  </si>
  <si>
    <t>= Summary / Hammock</t>
  </si>
  <si>
    <t>O Non-Critical Activity</t>
  </si>
  <si>
    <t>Cell 02</t>
  </si>
  <si>
    <t>import re
d=xl("A2:M1037",headers=True)
# Outputs spill consecutively from row 3, so task inputs must be consecutive.
present=d["TaskID"].notna()
populated=d.astype(object).where(d.notna(),"").astype(str).apply(lambda c:c.str.strip().ne("")).any(axis=1)
missing=populated &amp; ~present
if missing.any():
    raise ValueError("Missing TaskID on input row(s): "+", ".join(str(i+3) for i in np.flatnonzero(missing.to_numpy())))
positions=np.flatnonzero(present.to_numpy())
if len(positions) and not present.iloc[:positions[-1]+1].all():
    raise ValueError("Remove blank task-row gaps: enter tasks consecutively from row 3")
if len(positions)&gt;100:
    raise ValueError("This template displays at most 100 task rows; shorten the schedule or use a larger scheduling tool")
d=d.dropna(subset=["TaskID"]).copy()
if d.empty:
    raise ValueError("Enter at least one task")
d["TaskID"]=d["TaskID"].astype(str).str.strip()
if d["TaskID"].eq("").any():
    raise ValueError("TaskID cannot be whitespace")
d["TaskType"]=d["TaskType"].fillna("Activity").astype(str).str.strip().str.capitalize()
raw_duration=d["Duration"]
number_duration=pd.to_numeric(raw_duration,errors="coerce")
nonblank=raw_duration.notna() &amp; raw_duration.astype(str).str.strip().ne("")
bad_duration=nonblank &amp; (number_duration.isna() | ~np.isfinite(number_duration) | number_duration.lt(0))
if bad_duration.any():
    raise ValueError("Duration must be a finite nonnegative number for: "+", ".join(d.loc[bad_duration,"TaskID"]))
d["Duration"]=number_duration.fillna(0)
d["Predecessors"]=d["Predecessors"].fillna("").astype(str).str.strip()
T=d["TaskID"].tolist()
typ=dict(zip(T,d["TaskType"]))
rawdur=dict(zip(T,d["Duration"]))
valid_types={"Activity","Milestone","Summary"}
bad_types=[t for t in T if typ[t] not in valid_types]
if bad_types:
    raise ValueError("Invalid TaskType for: "+", ".join(bad_types))
if len(T)!=len(set(T)):
    raise ValueError("Duplicate TaskID found")
dur={
    t:0.0 if typ[t] in ("Milestone","Summary") else float(rawdur[t])
    for t in T
}
dates=pd.to_datetime(d["Constraints"],errors="coerce",dayfirst=True)
nonblank_date=d["Constraints"].notna() &amp; d["Constraints"].astype(str).str.strip().ne("")
bad_date=nonblank_date &amp; dates.isna()
if bad_date.any():
    raise ValueError("Invalid Constraint date for: "+", ".join(d.loc[bad_date,"TaskID"]))
valid=dates.dropna()
if valid.empty:
    raise ValueError("At least one Constraint date is required")
origin=valid.min().normalize()
fix={}
for i,r in d.iterrows():
    x=dates.loc[i]
    fix[r["TaskID"]]=(
        None
        if pd.isna(x)
        else (x.normalize()-origin).days/7
    )
pred={t:[] for t in T}
succ={t:[] for t in T}
pat=re.compile(
    r"^\s*(\S+)\s+(FS|SS|FF|SF)"
    r"(?:\s*([+-])\s*(\d+(?:\.\d+)?))?\s*$",
    re.I
)
for r in d.itertuples():
    if not r.Predecessors:
        continue
    for text in r.Predecessors.split(","):
        text=text.strip()
        m=pat.match(text)
        if not m:
            raise ValueError("Invalid predecessor: "+text)
        p,rel,sg,n=m.groups()
        rel=rel.upper()
        if p not in T:
            raise ValueError("Unknown predecessor: "+p)
        if typ[p]=="Summary":
            raise ValueError(r.TaskID+" cannot depend on Summary task "+p)
        if p==r.TaskID:
            raise ValueError("Task cannot depend on itself: "+p)
        lag=float(n or 0)
        if sg=="-":
            lag=-lag
        pred[r.TaskID].append((p,rel,lag))
        if typ[r.TaskID]!="Summary":
            succ[p].append((r.TaskID,rel,lag))
for t in T:
    if typ[t]=="Summary":
        invalid=[rel for p,rel,lag in pred[t] if rel not in ("SS","FF")]
        if invalid:
            raise ValueError(
                t+" Summary only supports SS and FF anchors"
            )
# Reject all dependency cycles, including zero-lag SS cycles.
degree={t:len(pred[t]) for t in T}
following={t:[] for t in T}
for t in T:
    for p,rel,lag in pred[t]:
        following[p].append(t)
ready=[t for t in T if degree[t]==0]
for p in ready:
    for t in following[p]:
        degree[t]-=1
        if degree[t]==0:
            ready.append(t)
if len(ready)!=len(T):
    raise ValueError("Dependency cycle detected; check: "+", ".join(t for t in T if degree[t]&gt;0))
if all(typ[t]=="Summary" for t in T):
    raise ValueError("Enter at least one Activity or Milestone")
(T,typ,dur,fix,pred,succ,origin)</t>
  </si>
  <si>
    <t>T,typ,dur,fix,pred,succ,origin=xl("O2")
REG=[t for t in T if typ[t]!="Summary"]
SUM=[t for t in T if typ[t]=="Summary"]
ES={t:0.0 for t in T}
EF={t:dur[t] for t in T}
CD=dur.copy()
lim=max(10,len(T)*4)
for _ in range(lim):
    ch=False
    for t in REG:
        s=0.0
        for p,r,l in pred[t]:
            if typ[p]=="Summary":
                raise ValueError(
                    t+" cannot depend on Summary task "+p
                )
            if r=="FS":
                x=EF[p]+l
            elif r=="SS":
                x=ES[p]+l
            elif r=="FF":
                x=EF[p]+l-dur[t]
            else:
                x=ES[p]+l-dur[t]
            s=max(s,x)
        if fix[t] is not None:
            s=fix[t]
        f=s+dur[t]
        if s!=ES[t] or f!=EF[t]:
            ES[t],EF[t]=s,f
            ch=True
    if not ch:
        break
else:
    raise ValueError(
        "Forward pass did not converge; check dependency cycles"
    )
# Keep fixed-start overrides, but expose violated ties in worksheet output.
WARN={t:[] for t in T}
for t in REG:
    for p,r,l in pred[t]:
        left,right=(ES[t],EF[p]+l) if r=="FS" else (ES[t],ES[p]+l) if r=="SS" else (EF[t],EF[p]+l) if r=="FF" else (EF[t],ES[p]+l)
        if left+1e-9&lt;right:
            WARN[t].append(t+": fixed start conflicts with "+p+" "+r+" (shortfall "+str(round(right-left,4))+" weeks)")
PF=max(EF[t] for t in REG)
LF={t:PF for t in T}
LS={t:PF-dur[t] for t in T}
for _ in range(lim):
    ch=False
    for t in reversed(REG):
        f=PF
        for s,r,l in succ[t]:
            if r=="FS":
                x=LS[s]-l
            elif r=="SS":
                x=LS[s]-l+dur[t]
            elif r=="FF":
                x=LF[s]-l
            else:
                x=LF[s]-l+dur[t]
            f=min(f,x)
        s=f-dur[t]
        if s!=LS[t] or f!=LF[t]:
            LS[t],LF[t]=s,f
            ch=True
    if not ch:
        break
else:
    raise ValueError("Backward pass did not converge; check schedule inputs")
for t in SUM:
    ss=[
        ES[p]+l
        for p,r,l in pred[t]
        if r=="SS"
    ]
    ff=[
        EF[p]+l
        for p,r,l in pred[t]
        if r=="FF"
    ]
    if not ss:
        raise ValueError(
            t+" Summary requires at least one SS anchor"
        )
    if not ff:
        raise ValueError(
            t+" Summary requires at least one FF anchor"
        )
    ES[t]=min(ss)
    EF[t]=max(ff)
    if EF[t]&lt;ES[t]:
        raise ValueError(
            t+" Summary finish is before its start"
        )
    CD[t]=EF[t]-ES[t]
    LS[t]=ES[t]
    LF[t]=EF[t]
TFF={
    t:"" if typ[t]=="Summary" else round(LF[t]-EF[t],4)
    for t in T
}
CRIT={
    t:False
    if typ[t]=="Summary"
    else TFF[t]&lt;=0.001
    for t in T
}
START={
    t:origin+pd.Timedelta(weeks=ES[t])
    for t in T
}
FINISH={
    t:origin+pd.Timedelta(weeks=EF[t])
    for t in T
}
# Free float: move this task without moving successor early dates.
# The current project finish is an implicit bound for every ordinary task.
# Keep negative slack visible when fixed starts contradict relationships.
FREE={}
for t in T:
    if typ[t]=="Summary":
        FREE[t]=""
        continue
    slack=[PF-EF[t]]
    for s,r,l in succ[t]:
        x=(ES[s]-EF[t]-l if r=="FS" else
           ES[s]-ES[t]-l if r=="SS" else
           EF[s]-EF[t]-l if r=="FF" else
           EF[s]-ES[t]-l)
        slack.append(x)
    FREE[t]=round(min(slack),4)
(T,typ,CD,ES,EF,START,FINISH,TFF,CRIT,WARN,LS,LF,FREE)</t>
  </si>
  <si>
    <t>Cell P2</t>
  </si>
  <si>
    <t>Cell Q2</t>
  </si>
  <si>
    <t>T,typ,CD,ES,EF,START,FINISH,TFF,CRIT,WARN,LS,LF,FREE=xl("P2")
pd.DataFrame({
    "CalcDuration":[round(CD[t],4) for t in T],
    "Start":[START[t] for t in T],
    "Finish":[FINISH[t] for t in T],
    "EarlyStart":[round(ES[t],4) for t in T],
    "EarlyFinish":[round(EF[t],4) for t in T],
        "LateStart":["" if typ[t]=="Summary" else round(LS[t],4) for t in T],
    "LateFinish":["" if typ[t]=="Summary" else round(LF[t],4) for t in T],
    "FreeFloat":[FREE[t] for t in T],
    "TotalFinishFloat":[TFF[t] for t in T],
    "IsCritical":[CRIT[t] for t in T]
})</t>
  </si>
  <si>
    <t>Disclosure : This workbook was generated partly with AI coding support from Microsoft Copilot and ChatGPT 6.1 Sol Light</t>
  </si>
  <si>
    <t>Cell CL2</t>
  </si>
  <si>
    <t xml:space="preserve">schedule=xl("P2")
pd.DataFrame({"ScheduleWarning":["; ".join(schedule[9][t]) for t in schedule[0]]})
</t>
  </si>
  <si>
    <t>7. TROUBLESHOOTING</t>
  </si>
  <si>
    <t xml:space="preserve">Sometimes you may encounter calculation errors with the Python Cells. </t>
  </si>
  <si>
    <t xml:space="preserve"> Do not manually overwrite Python-generated schedule outputs.</t>
  </si>
  <si>
    <t xml:space="preserve"> Fixed starts override dependencies. Conflicts are shown as warnings while the overridden schedule remains visible.</t>
  </si>
  <si>
    <t xml:space="preserve"> Summary tasks need SS and FF anchors to Activities/Milestones. Cycles, invalid inputs, and nested Summaries stop calculation.</t>
  </si>
  <si>
    <t xml:space="preserve"> Use at your own risk. This lightweight planning aid is not a comprehensive scheduling or assurance tool.</t>
  </si>
  <si>
    <t xml:space="preserve"> Float ignores fixed dates in the backward pass. Resolve date conflicts before relying on the schedule.</t>
  </si>
  <si>
    <t xml:space="preserve"> Activities and Milestones are classified as Critical or Non-Critical. Summaries are excluded.</t>
  </si>
  <si>
    <t xml:space="preserve"> Weekly view with simple elapsed time; no custom working/holiday calendars or comprehensive progress calculations.</t>
  </si>
  <si>
    <t xml:space="preserve"> Requires internet access and eligible Microsoft 365 Python in Excel. Python inputs run in Microsoft cloud services. Verify calculation completes after edits.</t>
  </si>
  <si>
    <t>Under Formula -use the (F9) Calculate Now or (Shift+F9) Calculate Sheet</t>
  </si>
  <si>
    <t>If that does not work - try the Reset button in the Python option</t>
  </si>
  <si>
    <t>Note that depending on your license , Microsoft does impose monthly Premium compute allowance limits , once exhausted, calculations will continue but at (a slightly slower) standard speed.</t>
  </si>
  <si>
    <t xml:space="preserve">By Zhijing Eu | Ver 1.3 candidate | 19 Oct 2026 </t>
  </si>
  <si>
    <t>Reference ONLY - These  are NOT Live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</si>
</sst>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bp Sans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8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24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 textRotation="90"/>
    </xf>
    <xf numFmtId="0" fontId="9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top"/>
    </xf>
    <xf numFmtId="0" fontId="6" fillId="0" borderId="0" xfId="0" quotePrefix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9" fontId="0" fillId="0" borderId="0" xfId="1" applyFont="1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4" fillId="0" borderId="0" xfId="0" quotePrefix="1" applyFont="1" applyAlignment="1">
      <alignment horizontal="center" vertical="top"/>
    </xf>
    <xf numFmtId="3" fontId="4" fillId="0" borderId="0" xfId="0" quotePrefix="1" applyNumberFormat="1" applyFont="1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14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0" fillId="3" borderId="16" xfId="0" applyFill="1" applyBorder="1" applyAlignment="1">
      <alignment vertical="top"/>
    </xf>
    <xf numFmtId="0" fontId="0" fillId="3" borderId="17" xfId="0" applyFill="1" applyBorder="1" applyAlignment="1">
      <alignment vertical="top" wrapText="1"/>
    </xf>
    <xf numFmtId="0" fontId="0" fillId="3" borderId="16" xfId="0" applyFill="1" applyBorder="1" applyAlignment="1">
      <alignment horizontal="left" vertical="top"/>
    </xf>
    <xf numFmtId="0" fontId="0" fillId="3" borderId="17" xfId="0" applyFill="1" applyBorder="1" applyAlignment="1">
      <alignment horizontal="left"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/>
    </xf>
    <xf numFmtId="0" fontId="0" fillId="3" borderId="0" xfId="0" applyFill="1"/>
    <xf numFmtId="0" fontId="15" fillId="0" borderId="0" xfId="2" applyAlignment="1">
      <alignment vertical="center"/>
    </xf>
    <xf numFmtId="0" fontId="16" fillId="0" borderId="0" xfId="0" applyFont="1" applyAlignment="1">
      <alignment vertical="center"/>
    </xf>
    <xf numFmtId="0" fontId="17" fillId="3" borderId="0" xfId="0" applyFont="1" applyFill="1" applyAlignment="1">
      <alignment vertical="top"/>
    </xf>
    <xf numFmtId="164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left" vertical="top"/>
    </xf>
  </cellXfs>
  <cellStyles count="3">
    <cellStyle name="Hyperlink" xfId="2" builtinId="8"/>
    <cellStyle name="Normal" xfId="0" builtinId="0"/>
    <cellStyle name="Percent" xfId="1" builtinId="5"/>
  </cellStyles>
  <dxfs count="19"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0000"/>
      </font>
    </dxf>
    <dxf>
      <alignment horizontal="center" vertical="top" textRotation="0" wrapText="0" indent="0" justifyLastLine="0" shrinkToFit="0" readingOrder="0"/>
    </dxf>
    <dxf>
      <font>
        <sz val="10"/>
      </font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sz val="10"/>
      </font>
      <alignment horizontal="center" vertical="top" textRotation="0" wrapText="1" indent="0" justifyLastLine="0" shrinkToFit="0" readingOrder="0"/>
    </dxf>
    <dxf>
      <font>
        <sz val="10"/>
      </font>
      <alignment horizontal="center" vertical="top" textRotation="0" wrapText="0" indent="0" justifyLastLine="0" shrinkToFit="0" readingOrder="0"/>
    </dxf>
    <dxf>
      <font>
        <sz val="10"/>
      </font>
      <alignment horizontal="center" vertical="top" textRotation="0" wrapText="0" indent="0" justifyLastLine="0" shrinkToFit="0" readingOrder="0"/>
    </dxf>
    <dxf>
      <font>
        <sz val="10"/>
      </font>
      <alignment horizontal="center" vertical="top" textRotation="0" wrapText="0" indent="0" justifyLastLine="0" shrinkToFit="0" readingOrder="0"/>
    </dxf>
    <dxf>
      <font>
        <sz val="8"/>
      </font>
      <alignment horizontal="center" vertical="top" textRotation="0" wrapText="1" indent="0" justifyLastLine="0" shrinkToFit="0" readingOrder="0"/>
    </dxf>
    <dxf>
      <font>
        <sz val="10"/>
      </font>
      <alignment horizontal="left" vertical="top" textRotation="0" wrapText="1" indent="0" justifyLastLine="0" shrinkToFit="0" readingOrder="0"/>
    </dxf>
    <dxf>
      <font>
        <sz val="10"/>
      </font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ichStyles" Target="richData/richStyles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microsoft.com/office/2017/06/relationships/rdSupportingPropertyBagStructure" Target="richData/rdsupportingpropertybag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7">
    <v t="s">&lt;list&gt;</v>
    <v t="s">&lt;dict&gt;</v>
    <v t="s">&lt;dict&gt;</v>
    <v t="s">&lt;dict&gt;</v>
    <v t="s">&lt;dict&gt;</v>
    <v t="s">&lt;dict&gt;</v>
    <v t="r">3</v>
  </a>
  <a r="11">
    <v t="s">&lt;list&gt;</v>
    <v t="s">&lt;dict&gt;</v>
    <v t="s">&lt;dict&gt;</v>
    <v t="s">&lt;dict&gt;</v>
    <v t="s">&lt;dict&gt;</v>
    <v t="s">...</v>
    <v t="s">&lt;dict&gt;</v>
    <v t="s">&lt;dict&gt;</v>
    <v t="s">&lt;dict&gt;</v>
    <v t="s">&lt;dict&gt;</v>
    <v t="s">&lt;dict&gt;</v>
  </a>
</arrayData>
</file>

<file path=xl/richData/rdrichvalue.xml><?xml version="1.0" encoding="utf-8"?>
<rvData xmlns="http://schemas.microsoft.com/office/spreadsheetml/2017/richdata" count="31">
  <rv s="0">
    <v>0</v>
    <v>5</v>
  </rv>
  <rv s="0">
    <v>1</v>
    <v>5</v>
  </rv>
  <rv s="1">
    <v>14</v>
  </rv>
  <rv s="2">
    <fb>46315</fb>
    <v>2</v>
  </rv>
  <rv s="3">
    <v>0</v>
  </rv>
  <rv s="4">
    <v>tuple</v>
    <v>1</v>
    <v>4</v>
  </rv>
  <rv s="5">
    <v>&lt;class 'tuple'&gt;</v>
    <v>tuple</v>
    <v>(['0010', '0020', '0030', '0040', '0050', '0060', '0070', '0080', '0090', '0100', '0110', '0120', '0130', '0140', '0150', '0160', '0170', '0180', '0190', '0200', '0210', '0220', '0230'], {'0010': 'Summary', '0020': 'Milestone', '0030': 'Activity', '004...</v>
    <v>5</v>
    <v>3</v>
  </rv>
  <rv s="3">
    <v>1</v>
  </rv>
  <rv s="4">
    <v>tuple</v>
    <v>5</v>
    <v>7</v>
  </rv>
  <rv s="5">
    <v>&lt;class 'tuple'&gt;</v>
    <v>tuple</v>
    <v>(['0010', '0020', '0030', '0040', '0050', '0060', '0070', '0080', '0090', '0100', '0110', '0120', '0130', '0140', '0150', '0160', '0170', '0180', '0190', '0200', '0210', '0220', '0230'], {'0010': 'Summary', '0020': 'Milestone', '0030': 'Activity', '004...</v>
    <v>8</v>
    <v>3</v>
  </rv>
  <rv s="2">
    <fb>46735</fb>
    <v>2</v>
  </rv>
  <rv s="2">
    <fb>46343</fb>
    <v>2</v>
  </rv>
  <rv s="2">
    <fb>46357</fb>
    <v>2</v>
  </rv>
  <rv s="2">
    <fb>46392</fb>
    <v>2</v>
  </rv>
  <rv s="2">
    <fb>46385</fb>
    <v>2</v>
  </rv>
  <rv s="2">
    <fb>46427</fb>
    <v>2</v>
  </rv>
  <rv s="2">
    <fb>46490</fb>
    <v>2</v>
  </rv>
  <rv s="2">
    <fb>46441</fb>
    <v>2</v>
  </rv>
  <rv s="2">
    <fb>46483</fb>
    <v>2</v>
  </rv>
  <rv s="2">
    <fb>46532</fb>
    <v>2</v>
  </rv>
  <rv s="2">
    <fb>46504</fb>
    <v>2</v>
  </rv>
  <rv s="2">
    <fb>46581</fb>
    <v>2</v>
  </rv>
  <rv s="2">
    <fb>46609</fb>
    <v>2</v>
  </rv>
  <rv s="2">
    <fb>46665</fb>
    <v>2</v>
  </rv>
  <rv s="2">
    <fb>46595</fb>
    <v>2</v>
  </rv>
  <rv s="2">
    <fb>46616</fb>
    <v>2</v>
  </rv>
  <rv s="2">
    <fb>46637</fb>
    <v>2</v>
  </rv>
  <rv s="2">
    <fb>46651</fb>
    <v>2</v>
  </rv>
  <rv s="2">
    <fb>46693</fb>
    <v>2</v>
  </rv>
  <rv s="2">
    <fb>46721</fb>
    <v>2</v>
  </rv>
  <rv s="2">
    <fb>46728</fb>
    <v>2</v>
  </rv>
</rvData>
</file>

<file path=xl/richData/rdrichvaluestructure.xml><?xml version="1.0" encoding="utf-8"?>
<rvStructures xmlns="http://schemas.microsoft.com/office/spreadsheetml/2017/richdata" count="6">
  <s t="_localImage">
    <k n="_rvRel:LocalImageIdentifier" t="i"/>
    <k n="CalcOrigin" t="i"/>
  </s>
  <s t="_error">
    <k n="errorType" t="i"/>
  </s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6">
    <spb s="0">
      <v>7</v>
      <v>1</v>
      <v>tuple</v>
      <v>arrayPreview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  <spb s="0">
      <v>13</v>
      <v>1</v>
      <v>tuple</v>
      <v>arrayPreview</v>
    </spb>
    <spb s="1">
      <v>4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/yyyy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C00D8-A856-492B-8D94-8EFCFF3489C1}" name="Table1" displayName="Table1" ref="A2:M102" totalsRowShown="0" headerRowDxfId="18" dataDxfId="17">
  <tableColumns count="13">
    <tableColumn id="1" xr3:uid="{F4FB1260-6748-4AD9-8A55-9EC6818EA244}" name="TaskID" dataDxfId="16"/>
    <tableColumn id="2" xr3:uid="{1E11AE1A-F976-49A7-A76C-3F348481CF71}" name="TaskType" dataDxfId="15"/>
    <tableColumn id="16" xr3:uid="{AC21A0C2-FD0B-4A7A-A2E5-ABC184A9A0F8}" name="Stage" dataDxfId="14"/>
    <tableColumn id="3" xr3:uid="{1FDCDDBA-6221-4476-BE08-B724467F3FF2}" name="TaskTitle" dataDxfId="13"/>
    <tableColumn id="4" xr3:uid="{51980F74-DDE2-4063-B416-20BF1237C82E}" name="TaskDescription" dataDxfId="12"/>
    <tableColumn id="12" xr3:uid="{B3F4F297-DA5D-48E8-9253-2F21FD5FE55E}" name="Task Grouping A" dataDxfId="11"/>
    <tableColumn id="13" xr3:uid="{9A13D77A-AEE2-4DBD-BD0F-2A2A04947E00}" name="Task Grouping B" dataDxfId="10"/>
    <tableColumn id="14" xr3:uid="{754C540A-4D48-4122-B4B4-B101D2CDFC03}" name="Task Grouping C" dataDxfId="9"/>
    <tableColumn id="15" xr3:uid="{C8F53B1D-A99B-408F-99D3-1854CD3FC48B}" name="Task Grouping D" dataDxfId="8"/>
    <tableColumn id="5" xr3:uid="{AC5C95DD-1F42-4CFF-AF3A-52D9C074EB69}" name="Duration" dataDxfId="7"/>
    <tableColumn id="8" xr3:uid="{1DEB706B-A308-4374-9D76-E88660AC5F5A}" name="Progress" dataDxfId="6" dataCellStyle="Percent"/>
    <tableColumn id="6" xr3:uid="{CF801619-6813-40AC-9D4D-6F5C3328774C}" name="Predecessors" dataDxfId="5"/>
    <tableColumn id="7" xr3:uid="{C2855F63-70E2-4458-B75F-5A03E6B48935}" name="Constraint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ijingeu.github.i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6790-5CE3-41C5-8887-25EEB80ADE5A}">
  <dimension ref="A1:A128"/>
  <sheetViews>
    <sheetView tabSelected="1" zoomScale="115" zoomScaleNormal="115" workbookViewId="0">
      <selection activeCell="A13" sqref="A13"/>
    </sheetView>
  </sheetViews>
  <sheetFormatPr defaultRowHeight="14.5" outlineLevelRow="2"/>
  <cols>
    <col min="1" max="1" width="129.81640625" style="4" customWidth="1"/>
  </cols>
  <sheetData>
    <row r="1" spans="1:1" s="3" customFormat="1" ht="35">
      <c r="A1" s="57" t="s">
        <v>16</v>
      </c>
    </row>
    <row r="2" spans="1:1" ht="12" customHeight="1">
      <c r="A2" s="74" t="s">
        <v>186</v>
      </c>
    </row>
    <row r="3" spans="1:1" ht="12" customHeight="1">
      <c r="A3" s="58" t="s">
        <v>17</v>
      </c>
    </row>
    <row r="4" spans="1:1" ht="12" customHeight="1">
      <c r="A4" s="75" t="s">
        <v>170</v>
      </c>
    </row>
    <row r="5" spans="1:1" ht="12" customHeight="1">
      <c r="A5" s="75"/>
    </row>
    <row r="6" spans="1:1" ht="12" customHeight="1">
      <c r="A6" s="58" t="s">
        <v>18</v>
      </c>
    </row>
    <row r="7" spans="1:1" ht="12" customHeight="1">
      <c r="A7" s="59"/>
    </row>
    <row r="8" spans="1:1" ht="14" customHeight="1">
      <c r="A8" s="62" t="s">
        <v>19</v>
      </c>
    </row>
    <row r="9" spans="1:1" ht="14" customHeight="1" outlineLevel="1">
      <c r="A9" s="56"/>
    </row>
    <row r="10" spans="1:1" ht="14" customHeight="1" outlineLevel="1">
      <c r="A10" s="61" t="s">
        <v>0</v>
      </c>
    </row>
    <row r="11" spans="1:1" ht="14" hidden="1" customHeight="1" outlineLevel="2">
      <c r="A11" s="58" t="s">
        <v>20</v>
      </c>
    </row>
    <row r="12" spans="1:1" ht="14" hidden="1" customHeight="1" outlineLevel="2">
      <c r="A12" s="56"/>
    </row>
    <row r="13" spans="1:1" ht="14" customHeight="1" outlineLevel="1" collapsed="1">
      <c r="A13" s="61" t="s">
        <v>1</v>
      </c>
    </row>
    <row r="14" spans="1:1" ht="14" hidden="1" customHeight="1" outlineLevel="2">
      <c r="A14" s="58" t="s">
        <v>21</v>
      </c>
    </row>
    <row r="15" spans="1:1" ht="14" hidden="1" customHeight="1" outlineLevel="2">
      <c r="A15" s="58" t="s">
        <v>22</v>
      </c>
    </row>
    <row r="16" spans="1:1" ht="14" hidden="1" customHeight="1" outlineLevel="2">
      <c r="A16" s="58" t="s">
        <v>23</v>
      </c>
    </row>
    <row r="17" spans="1:1" ht="14" hidden="1" customHeight="1" outlineLevel="2">
      <c r="A17" s="58" t="s">
        <v>24</v>
      </c>
    </row>
    <row r="18" spans="1:1" ht="14" hidden="1" customHeight="1" outlineLevel="2">
      <c r="A18" s="56"/>
    </row>
    <row r="19" spans="1:1" ht="14" customHeight="1" outlineLevel="1" collapsed="1">
      <c r="A19" s="61" t="s">
        <v>4</v>
      </c>
    </row>
    <row r="20" spans="1:1" ht="14" hidden="1" customHeight="1" outlineLevel="2">
      <c r="A20" s="58" t="s">
        <v>25</v>
      </c>
    </row>
    <row r="21" spans="1:1" ht="14" hidden="1" customHeight="1" outlineLevel="2">
      <c r="A21" s="58" t="s">
        <v>26</v>
      </c>
    </row>
    <row r="22" spans="1:1" ht="14" hidden="1" customHeight="1" outlineLevel="2">
      <c r="A22" s="58" t="s">
        <v>27</v>
      </c>
    </row>
    <row r="23" spans="1:1" ht="14" hidden="1" customHeight="1" outlineLevel="2">
      <c r="A23" s="58" t="s">
        <v>28</v>
      </c>
    </row>
    <row r="24" spans="1:1" ht="14" hidden="1" customHeight="1" outlineLevel="2">
      <c r="A24" s="56"/>
    </row>
    <row r="25" spans="1:1" ht="14" customHeight="1" outlineLevel="1" collapsed="1">
      <c r="A25" s="61" t="s">
        <v>8</v>
      </c>
    </row>
    <row r="26" spans="1:1" ht="14" hidden="1" customHeight="1" outlineLevel="2">
      <c r="A26" s="58" t="s">
        <v>29</v>
      </c>
    </row>
    <row r="27" spans="1:1" ht="14" hidden="1" customHeight="1" outlineLevel="2">
      <c r="A27" s="58" t="s">
        <v>30</v>
      </c>
    </row>
    <row r="28" spans="1:1" ht="14" hidden="1" customHeight="1" outlineLevel="2">
      <c r="A28" s="56"/>
    </row>
    <row r="29" spans="1:1" ht="14" customHeight="1" outlineLevel="1" collapsed="1">
      <c r="A29" s="61" t="s">
        <v>2</v>
      </c>
    </row>
    <row r="30" spans="1:1" ht="14" hidden="1" customHeight="1" outlineLevel="2">
      <c r="A30" s="58" t="s">
        <v>31</v>
      </c>
    </row>
    <row r="31" spans="1:1" ht="14" hidden="1" customHeight="1" outlineLevel="2">
      <c r="A31" s="58" t="s">
        <v>32</v>
      </c>
    </row>
    <row r="32" spans="1:1" ht="14" hidden="1" customHeight="1" outlineLevel="2">
      <c r="A32" s="58" t="s">
        <v>33</v>
      </c>
    </row>
    <row r="33" spans="1:1" ht="14" hidden="1" customHeight="1" outlineLevel="2">
      <c r="A33" s="58" t="s">
        <v>34</v>
      </c>
    </row>
    <row r="34" spans="1:1" ht="14" hidden="1" customHeight="1" outlineLevel="2">
      <c r="A34" s="58" t="s">
        <v>35</v>
      </c>
    </row>
    <row r="35" spans="1:1" ht="14" hidden="1" customHeight="1" outlineLevel="2">
      <c r="A35" s="56"/>
    </row>
    <row r="36" spans="1:1" ht="14" hidden="1" customHeight="1" outlineLevel="2">
      <c r="A36" s="58" t="s">
        <v>36</v>
      </c>
    </row>
    <row r="37" spans="1:1" ht="14" hidden="1" customHeight="1" outlineLevel="2">
      <c r="A37" s="58" t="s">
        <v>37</v>
      </c>
    </row>
    <row r="38" spans="1:1" ht="14" hidden="1" customHeight="1" outlineLevel="2">
      <c r="A38" s="58" t="s">
        <v>11</v>
      </c>
    </row>
    <row r="39" spans="1:1" ht="14" hidden="1" customHeight="1" outlineLevel="2">
      <c r="A39" s="58" t="s">
        <v>38</v>
      </c>
    </row>
    <row r="40" spans="1:1" ht="14" hidden="1" customHeight="1" outlineLevel="2">
      <c r="A40" s="58" t="s">
        <v>39</v>
      </c>
    </row>
    <row r="41" spans="1:1" ht="14" hidden="1" customHeight="1" outlineLevel="2">
      <c r="A41" s="58" t="s">
        <v>12</v>
      </c>
    </row>
    <row r="42" spans="1:1" ht="14" hidden="1" customHeight="1" outlineLevel="2">
      <c r="A42" s="56"/>
    </row>
    <row r="43" spans="1:1" ht="14" hidden="1" customHeight="1" outlineLevel="2">
      <c r="A43" s="58" t="s">
        <v>40</v>
      </c>
    </row>
    <row r="44" spans="1:1" ht="14" hidden="1" customHeight="1" outlineLevel="2">
      <c r="A44" s="56"/>
    </row>
    <row r="45" spans="1:1" ht="14" customHeight="1" outlineLevel="1" collapsed="1">
      <c r="A45" s="61" t="s">
        <v>3</v>
      </c>
    </row>
    <row r="46" spans="1:1" ht="14" hidden="1" customHeight="1" outlineLevel="2">
      <c r="A46" s="58" t="s">
        <v>41</v>
      </c>
    </row>
    <row r="47" spans="1:1" ht="14" hidden="1" customHeight="1" outlineLevel="2">
      <c r="A47" s="58" t="s">
        <v>42</v>
      </c>
    </row>
    <row r="48" spans="1:1" ht="14" hidden="1" customHeight="1" outlineLevel="2">
      <c r="A48" s="58" t="s">
        <v>43</v>
      </c>
    </row>
    <row r="49" spans="1:1" ht="14" hidden="1" customHeight="1" outlineLevel="2">
      <c r="A49" s="58"/>
    </row>
    <row r="50" spans="1:1" ht="14" customHeight="1" outlineLevel="1" collapsed="1">
      <c r="A50" s="59"/>
    </row>
    <row r="51" spans="1:1" ht="14" customHeight="1">
      <c r="A51" s="62" t="s">
        <v>44</v>
      </c>
    </row>
    <row r="52" spans="1:1" ht="14" customHeight="1" outlineLevel="1">
      <c r="A52" s="58" t="s">
        <v>45</v>
      </c>
    </row>
    <row r="53" spans="1:1" ht="14" customHeight="1" outlineLevel="1">
      <c r="A53" s="58" t="s">
        <v>46</v>
      </c>
    </row>
    <row r="54" spans="1:1" ht="14" customHeight="1" outlineLevel="1">
      <c r="A54" s="58" t="s">
        <v>47</v>
      </c>
    </row>
    <row r="55" spans="1:1" ht="14" customHeight="1" outlineLevel="1">
      <c r="A55" s="58" t="s">
        <v>48</v>
      </c>
    </row>
    <row r="56" spans="1:1" ht="14" customHeight="1" outlineLevel="1">
      <c r="A56" s="56"/>
    </row>
    <row r="57" spans="1:1" ht="14" customHeight="1" outlineLevel="1">
      <c r="A57" s="58" t="s">
        <v>49</v>
      </c>
    </row>
    <row r="58" spans="1:1" ht="14" customHeight="1" outlineLevel="1">
      <c r="A58" s="58" t="s">
        <v>50</v>
      </c>
    </row>
    <row r="59" spans="1:1" ht="14" customHeight="1" outlineLevel="1">
      <c r="A59" s="58" t="s">
        <v>51</v>
      </c>
    </row>
    <row r="60" spans="1:1" ht="14" customHeight="1" outlineLevel="1">
      <c r="A60" s="58" t="s">
        <v>52</v>
      </c>
    </row>
    <row r="61" spans="1:1" ht="14" customHeight="1" outlineLevel="1">
      <c r="A61" s="56"/>
    </row>
    <row r="62" spans="1:1" ht="14" customHeight="1" outlineLevel="1">
      <c r="A62" s="58" t="s">
        <v>53</v>
      </c>
    </row>
    <row r="63" spans="1:1" ht="14" customHeight="1" outlineLevel="1">
      <c r="A63" s="58" t="s">
        <v>54</v>
      </c>
    </row>
    <row r="64" spans="1:1" ht="14" customHeight="1" outlineLevel="1">
      <c r="A64" s="59"/>
    </row>
    <row r="65" spans="1:1" ht="14" customHeight="1">
      <c r="A65" s="62" t="s">
        <v>55</v>
      </c>
    </row>
    <row r="66" spans="1:1" ht="14" customHeight="1" outlineLevel="1">
      <c r="A66" s="58" t="s">
        <v>56</v>
      </c>
    </row>
    <row r="67" spans="1:1" ht="14" customHeight="1" outlineLevel="1">
      <c r="A67" s="65" t="s">
        <v>57</v>
      </c>
    </row>
    <row r="68" spans="1:1" ht="14" customHeight="1" outlineLevel="1">
      <c r="A68" s="58" t="s">
        <v>58</v>
      </c>
    </row>
    <row r="69" spans="1:1" ht="14" customHeight="1" outlineLevel="1">
      <c r="A69" s="58" t="s">
        <v>59</v>
      </c>
    </row>
    <row r="70" spans="1:1" ht="14" customHeight="1" outlineLevel="1">
      <c r="A70" s="56"/>
    </row>
    <row r="71" spans="1:1" ht="14" customHeight="1" outlineLevel="1">
      <c r="A71" s="65" t="s">
        <v>60</v>
      </c>
    </row>
    <row r="72" spans="1:1" ht="14" customHeight="1" outlineLevel="1">
      <c r="A72" s="58" t="s">
        <v>61</v>
      </c>
    </row>
    <row r="73" spans="1:1" ht="14" customHeight="1" outlineLevel="1">
      <c r="A73" s="56"/>
    </row>
    <row r="74" spans="1:1" ht="14" customHeight="1" outlineLevel="1">
      <c r="A74" s="65" t="s">
        <v>62</v>
      </c>
    </row>
    <row r="75" spans="1:1" ht="14" customHeight="1" outlineLevel="1">
      <c r="A75" s="58" t="s">
        <v>63</v>
      </c>
    </row>
    <row r="76" spans="1:1" ht="14" customHeight="1" outlineLevel="1">
      <c r="A76" s="58" t="s">
        <v>64</v>
      </c>
    </row>
    <row r="77" spans="1:1" ht="14" customHeight="1" outlineLevel="1">
      <c r="A77" s="56"/>
    </row>
    <row r="78" spans="1:1" ht="14" customHeight="1" outlineLevel="1">
      <c r="A78" s="65" t="s">
        <v>65</v>
      </c>
    </row>
    <row r="79" spans="1:1" ht="14" customHeight="1" outlineLevel="1">
      <c r="A79" s="58" t="s">
        <v>66</v>
      </c>
    </row>
    <row r="80" spans="1:1" ht="14" customHeight="1" outlineLevel="1">
      <c r="A80" s="58" t="s">
        <v>67</v>
      </c>
    </row>
    <row r="81" spans="1:1" ht="14" customHeight="1" outlineLevel="1">
      <c r="A81" s="58" t="s">
        <v>68</v>
      </c>
    </row>
    <row r="82" spans="1:1" ht="14" customHeight="1" outlineLevel="1">
      <c r="A82" s="58" t="s">
        <v>69</v>
      </c>
    </row>
    <row r="83" spans="1:1" ht="14" customHeight="1" outlineLevel="1">
      <c r="A83" s="58" t="s">
        <v>70</v>
      </c>
    </row>
    <row r="84" spans="1:1" ht="14" customHeight="1" outlineLevel="1">
      <c r="A84" s="58" t="s">
        <v>71</v>
      </c>
    </row>
    <row r="85" spans="1:1" ht="14" customHeight="1" outlineLevel="1">
      <c r="A85" s="56"/>
    </row>
    <row r="86" spans="1:1" ht="14" customHeight="1" outlineLevel="1">
      <c r="A86" s="65" t="s">
        <v>72</v>
      </c>
    </row>
    <row r="87" spans="1:1" ht="14" customHeight="1" outlineLevel="1">
      <c r="A87" s="58" t="s">
        <v>73</v>
      </c>
    </row>
    <row r="88" spans="1:1" ht="14" customHeight="1" outlineLevel="1">
      <c r="A88" s="58" t="s">
        <v>74</v>
      </c>
    </row>
    <row r="89" spans="1:1" ht="14" customHeight="1" outlineLevel="1">
      <c r="A89" s="59"/>
    </row>
    <row r="90" spans="1:1" ht="14" customHeight="1">
      <c r="A90" s="62" t="s">
        <v>75</v>
      </c>
    </row>
    <row r="91" spans="1:1" ht="14" customHeight="1" outlineLevel="1">
      <c r="A91" s="58" t="s">
        <v>76</v>
      </c>
    </row>
    <row r="92" spans="1:1" ht="14" customHeight="1" outlineLevel="1">
      <c r="A92" s="58" t="s">
        <v>77</v>
      </c>
    </row>
    <row r="93" spans="1:1" ht="14" customHeight="1" outlineLevel="1">
      <c r="A93" s="56"/>
    </row>
    <row r="94" spans="1:1" ht="14" customHeight="1" outlineLevel="1">
      <c r="A94" s="58" t="s">
        <v>78</v>
      </c>
    </row>
    <row r="95" spans="1:1" ht="14" customHeight="1" outlineLevel="1">
      <c r="A95" s="58" t="s">
        <v>160</v>
      </c>
    </row>
    <row r="96" spans="1:1" ht="14" customHeight="1" outlineLevel="1">
      <c r="A96" s="58" t="s">
        <v>163</v>
      </c>
    </row>
    <row r="97" spans="1:1" ht="14" customHeight="1" outlineLevel="1">
      <c r="A97" s="58" t="s">
        <v>161</v>
      </c>
    </row>
    <row r="98" spans="1:1" ht="14" customHeight="1" outlineLevel="1">
      <c r="A98" s="66" t="s">
        <v>162</v>
      </c>
    </row>
    <row r="99" spans="1:1" ht="14" customHeight="1" outlineLevel="1">
      <c r="A99" s="56"/>
    </row>
    <row r="100" spans="1:1" ht="14" customHeight="1" outlineLevel="1">
      <c r="A100" s="58" t="s">
        <v>79</v>
      </c>
    </row>
    <row r="101" spans="1:1" ht="14" customHeight="1" outlineLevel="1">
      <c r="A101" s="58" t="s">
        <v>80</v>
      </c>
    </row>
    <row r="102" spans="1:1" ht="14" customHeight="1" outlineLevel="1">
      <c r="A102" s="59"/>
    </row>
    <row r="103" spans="1:1" ht="14" customHeight="1">
      <c r="A103" s="62" t="s">
        <v>81</v>
      </c>
    </row>
    <row r="104" spans="1:1" ht="14" customHeight="1" outlineLevel="1">
      <c r="A104" s="60" t="s">
        <v>83</v>
      </c>
    </row>
    <row r="105" spans="1:1" ht="14" customHeight="1" outlineLevel="1">
      <c r="A105" s="60" t="s">
        <v>84</v>
      </c>
    </row>
    <row r="106" spans="1:1" ht="14" customHeight="1" outlineLevel="1">
      <c r="A106" s="60" t="s">
        <v>85</v>
      </c>
    </row>
    <row r="107" spans="1:1" ht="14" customHeight="1" outlineLevel="1">
      <c r="A107" s="60" t="s">
        <v>87</v>
      </c>
    </row>
    <row r="108" spans="1:1" ht="14" customHeight="1" outlineLevel="1">
      <c r="A108" s="60" t="s">
        <v>86</v>
      </c>
    </row>
    <row r="109" spans="1:1" ht="14" customHeight="1" outlineLevel="1">
      <c r="A109" s="60" t="s">
        <v>82</v>
      </c>
    </row>
    <row r="110" spans="1:1" ht="14" customHeight="1" outlineLevel="1">
      <c r="A110" s="56"/>
    </row>
    <row r="111" spans="1:1" ht="14" customHeight="1">
      <c r="A111" s="61" t="s">
        <v>88</v>
      </c>
    </row>
    <row r="112" spans="1:1" ht="14" customHeight="1" outlineLevel="1">
      <c r="A112" s="58" t="s">
        <v>178</v>
      </c>
    </row>
    <row r="113" spans="1:1" ht="14" customHeight="1" outlineLevel="1">
      <c r="A113" s="58" t="s">
        <v>175</v>
      </c>
    </row>
    <row r="114" spans="1:1" ht="14" customHeight="1" outlineLevel="1">
      <c r="A114" s="58" t="s">
        <v>177</v>
      </c>
    </row>
    <row r="115" spans="1:1" ht="14" customHeight="1" outlineLevel="1">
      <c r="A115" s="58" t="s">
        <v>176</v>
      </c>
    </row>
    <row r="116" spans="1:1" ht="14" customHeight="1" outlineLevel="1">
      <c r="A116" s="58" t="s">
        <v>179</v>
      </c>
    </row>
    <row r="117" spans="1:1" ht="14" customHeight="1" outlineLevel="1">
      <c r="A117" s="58" t="s">
        <v>180</v>
      </c>
    </row>
    <row r="118" spans="1:1" ht="14" customHeight="1" outlineLevel="1">
      <c r="A118" s="58" t="s">
        <v>181</v>
      </c>
    </row>
    <row r="119" spans="1:1" ht="14" customHeight="1" outlineLevel="1">
      <c r="A119" s="58" t="s">
        <v>182</v>
      </c>
    </row>
    <row r="120" spans="1:1" ht="14" customHeight="1" outlineLevel="1">
      <c r="A120" s="58"/>
    </row>
    <row r="121" spans="1:1" ht="14" customHeight="1">
      <c r="A121" s="61" t="s">
        <v>173</v>
      </c>
    </row>
    <row r="122" spans="1:1" ht="14" customHeight="1" outlineLevel="1">
      <c r="A122" s="4" t="s">
        <v>174</v>
      </c>
    </row>
    <row r="123" spans="1:1" ht="14" customHeight="1" outlineLevel="1">
      <c r="A123" s="4" t="s">
        <v>183</v>
      </c>
    </row>
    <row r="124" spans="1:1" outlineLevel="1">
      <c r="A124" s="4" t="s">
        <v>184</v>
      </c>
    </row>
    <row r="125" spans="1:1" ht="90" customHeight="1" outlineLevel="1">
      <c r="A125" s="4" t="e" vm="1">
        <v>#VALUE!</v>
      </c>
    </row>
    <row r="126" spans="1:1" outlineLevel="1">
      <c r="A126" s="4" t="s">
        <v>185</v>
      </c>
    </row>
    <row r="127" spans="1:1" ht="24" customHeight="1" outlineLevel="1">
      <c r="A127" s="4" t="e" vm="2">
        <v>#VALUE!</v>
      </c>
    </row>
    <row r="128" spans="1:1" outlineLevel="1"/>
  </sheetData>
  <hyperlinks>
    <hyperlink ref="A2" r:id="rId1" display="By Zhijing Eu Oct 2026 &lt;https://zhijingeu.github.io&gt;" xr:uid="{9FA6A79A-D924-4353-9E10-9ACBD8A691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5C89-FA52-44F3-A3D7-BD094B356EB0}">
  <dimension ref="A1:B12"/>
  <sheetViews>
    <sheetView zoomScale="160" zoomScaleNormal="160" workbookViewId="0">
      <selection activeCell="B7" sqref="B7"/>
    </sheetView>
  </sheetViews>
  <sheetFormatPr defaultRowHeight="14.5"/>
  <cols>
    <col min="1" max="1" width="2.81640625" style="1" customWidth="1"/>
    <col min="2" max="2" width="129.26953125" style="2" customWidth="1"/>
  </cols>
  <sheetData>
    <row r="1" spans="1:2" ht="16">
      <c r="A1" s="54" t="s">
        <v>13</v>
      </c>
    </row>
    <row r="2" spans="1:2">
      <c r="A2" s="63" t="s">
        <v>14</v>
      </c>
      <c r="B2" s="63" t="s">
        <v>15</v>
      </c>
    </row>
    <row r="3" spans="1:2" s="55" customFormat="1" ht="27" customHeight="1">
      <c r="A3" s="63">
        <v>1</v>
      </c>
      <c r="B3" s="63"/>
    </row>
    <row r="4" spans="1:2" s="55" customFormat="1" ht="27" customHeight="1">
      <c r="A4" s="63">
        <v>2</v>
      </c>
      <c r="B4" s="63"/>
    </row>
    <row r="5" spans="1:2" s="55" customFormat="1" ht="27" customHeight="1">
      <c r="A5" s="63">
        <v>3</v>
      </c>
      <c r="B5" s="63"/>
    </row>
    <row r="6" spans="1:2" s="55" customFormat="1" ht="27" customHeight="1">
      <c r="A6" s="63">
        <v>4</v>
      </c>
      <c r="B6" s="63"/>
    </row>
    <row r="7" spans="1:2" s="55" customFormat="1" ht="27" customHeight="1">
      <c r="A7" s="63">
        <v>5</v>
      </c>
      <c r="B7" s="63"/>
    </row>
    <row r="8" spans="1:2" s="55" customFormat="1" ht="27" customHeight="1">
      <c r="A8" s="63">
        <v>6</v>
      </c>
      <c r="B8" s="63"/>
    </row>
    <row r="9" spans="1:2" s="55" customFormat="1" ht="27" customHeight="1">
      <c r="A9" s="63">
        <v>7</v>
      </c>
      <c r="B9" s="63"/>
    </row>
    <row r="10" spans="1:2" s="55" customFormat="1" ht="27" customHeight="1">
      <c r="A10" s="63">
        <v>8</v>
      </c>
      <c r="B10" s="63"/>
    </row>
    <row r="11" spans="1:2" s="55" customFormat="1" ht="27" customHeight="1">
      <c r="A11" s="63">
        <v>9</v>
      </c>
      <c r="B11" s="63"/>
    </row>
    <row r="12" spans="1:2" s="55" customFormat="1" ht="27" customHeight="1">
      <c r="A12" s="63">
        <v>10</v>
      </c>
      <c r="B12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1C8A-505A-4DB0-A29A-C30222883BC9}">
  <dimension ref="A1:CL102"/>
  <sheetViews>
    <sheetView zoomScale="80" zoomScaleNormal="80" workbookViewId="0">
      <pane xSplit="16" ySplit="2" topLeftCell="Q3" activePane="bottomRight" state="frozenSplit"/>
      <selection pane="topRight" activeCell="R1" sqref="R1"/>
      <selection pane="bottomLeft" activeCell="A3" sqref="A3"/>
      <selection pane="bottomRight" activeCell="L7" sqref="L7"/>
    </sheetView>
  </sheetViews>
  <sheetFormatPr defaultRowHeight="14.5" outlineLevelCol="1"/>
  <cols>
    <col min="1" max="1" width="7.7265625" style="18" customWidth="1"/>
    <col min="2" max="2" width="11.54296875" style="18" bestFit="1" customWidth="1"/>
    <col min="3" max="3" width="10" style="18" customWidth="1"/>
    <col min="4" max="4" width="25.08984375" style="8" customWidth="1"/>
    <col min="5" max="9" width="16.81640625" style="18" hidden="1" customWidth="1" outlineLevel="1"/>
    <col min="10" max="10" width="9.26953125" style="18" customWidth="1" collapsed="1"/>
    <col min="11" max="11" width="11.54296875" style="18" customWidth="1"/>
    <col min="12" max="12" width="33.26953125" style="18" customWidth="1"/>
    <col min="13" max="13" width="12.54296875" style="18" customWidth="1"/>
    <col min="14" max="14" width="7.1796875" style="5" hidden="1" customWidth="1" outlineLevel="1"/>
    <col min="15" max="16" width="9.81640625" hidden="1" customWidth="1" outlineLevel="1"/>
    <col min="17" max="17" width="11.54296875" style="1" customWidth="1" collapsed="1"/>
    <col min="18" max="19" width="11.54296875" style="1" customWidth="1"/>
    <col min="20" max="21" width="12.08984375" style="1" customWidth="1"/>
    <col min="22" max="24" width="13.453125" style="1" customWidth="1"/>
    <col min="25" max="25" width="13.54296875" style="1" customWidth="1"/>
    <col min="26" max="26" width="11.7265625" style="1" customWidth="1"/>
    <col min="27" max="28" width="2.08984375" style="1" customWidth="1"/>
    <col min="29" max="89" width="2.08984375" customWidth="1"/>
    <col min="90" max="90" width="85" customWidth="1"/>
  </cols>
  <sheetData>
    <row r="1" spans="1:90" s="13" customFormat="1" ht="48" customHeight="1" thickBot="1">
      <c r="A1" s="77" t="str">
        <f ca="1">IF(OR(ISERROR($Q$2),ISERROR($CL$2)),"ERROR: inspect Python cells; do not use cached schedule outputs.",IF(COUNTIF($CL$3:$CL$1037,"?*")&gt;0,"WARNING: fixed-date conflicts. Review column CL. Float ignores fixed dates.","No constraint conflicts detected. Float ignores fixed dates. See README."))</f>
        <v>No constraint conflicts detected. Float ignores fixed dates. See README.</v>
      </c>
      <c r="B1" s="77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12"/>
      <c r="Q1" s="14"/>
      <c r="R1" s="14"/>
      <c r="S1" s="14"/>
      <c r="T1" s="14"/>
      <c r="U1" s="14"/>
      <c r="Y1" s="14"/>
      <c r="Z1" s="14"/>
      <c r="AA1" s="15">
        <f ca="1">MIN($R$3:$R$102)</f>
        <v>46315</v>
      </c>
      <c r="AB1" s="15">
        <f ca="1">AA1+7</f>
        <v>46322</v>
      </c>
      <c r="AC1" s="15">
        <f t="shared" ref="AC1:AQ1" ca="1" si="0">AB1+7</f>
        <v>46329</v>
      </c>
      <c r="AD1" s="15">
        <f t="shared" ca="1" si="0"/>
        <v>46336</v>
      </c>
      <c r="AE1" s="15">
        <f t="shared" ca="1" si="0"/>
        <v>46343</v>
      </c>
      <c r="AF1" s="15">
        <f t="shared" ca="1" si="0"/>
        <v>46350</v>
      </c>
      <c r="AG1" s="15">
        <f t="shared" ca="1" si="0"/>
        <v>46357</v>
      </c>
      <c r="AH1" s="15">
        <f t="shared" ca="1" si="0"/>
        <v>46364</v>
      </c>
      <c r="AI1" s="15">
        <f t="shared" ca="1" si="0"/>
        <v>46371</v>
      </c>
      <c r="AJ1" s="15">
        <f t="shared" ca="1" si="0"/>
        <v>46378</v>
      </c>
      <c r="AK1" s="15">
        <f t="shared" ca="1" si="0"/>
        <v>46385</v>
      </c>
      <c r="AL1" s="15">
        <f t="shared" ca="1" si="0"/>
        <v>46392</v>
      </c>
      <c r="AM1" s="15">
        <f t="shared" ca="1" si="0"/>
        <v>46399</v>
      </c>
      <c r="AN1" s="15">
        <f t="shared" ca="1" si="0"/>
        <v>46406</v>
      </c>
      <c r="AO1" s="15">
        <f t="shared" ca="1" si="0"/>
        <v>46413</v>
      </c>
      <c r="AP1" s="15">
        <f t="shared" ca="1" si="0"/>
        <v>46420</v>
      </c>
      <c r="AQ1" s="15">
        <f t="shared" ca="1" si="0"/>
        <v>46427</v>
      </c>
      <c r="AR1" s="15">
        <f t="shared" ref="AR1:AU1" ca="1" si="1">AQ1+7</f>
        <v>46434</v>
      </c>
      <c r="AS1" s="15">
        <f t="shared" ca="1" si="1"/>
        <v>46441</v>
      </c>
      <c r="AT1" s="15">
        <f t="shared" ca="1" si="1"/>
        <v>46448</v>
      </c>
      <c r="AU1" s="15">
        <f t="shared" ca="1" si="1"/>
        <v>46455</v>
      </c>
      <c r="AV1" s="15">
        <f t="shared" ref="AV1:AZ1" ca="1" si="2">AU1+7</f>
        <v>46462</v>
      </c>
      <c r="AW1" s="15">
        <f t="shared" ca="1" si="2"/>
        <v>46469</v>
      </c>
      <c r="AX1" s="15">
        <f t="shared" ca="1" si="2"/>
        <v>46476</v>
      </c>
      <c r="AY1" s="15">
        <f t="shared" ca="1" si="2"/>
        <v>46483</v>
      </c>
      <c r="AZ1" s="15">
        <f t="shared" ca="1" si="2"/>
        <v>46490</v>
      </c>
      <c r="BA1" s="15">
        <f t="shared" ref="BA1" ca="1" si="3">AZ1+7</f>
        <v>46497</v>
      </c>
      <c r="BB1" s="15">
        <f t="shared" ref="BB1" ca="1" si="4">BA1+7</f>
        <v>46504</v>
      </c>
      <c r="BC1" s="15">
        <f t="shared" ref="BC1" ca="1" si="5">BB1+7</f>
        <v>46511</v>
      </c>
      <c r="BD1" s="15">
        <f t="shared" ref="BD1" ca="1" si="6">BC1+7</f>
        <v>46518</v>
      </c>
      <c r="BE1" s="15">
        <f t="shared" ref="BE1" ca="1" si="7">BD1+7</f>
        <v>46525</v>
      </c>
      <c r="BF1" s="15">
        <f t="shared" ref="BF1" ca="1" si="8">BE1+7</f>
        <v>46532</v>
      </c>
      <c r="BG1" s="15">
        <f t="shared" ref="BG1" ca="1" si="9">BF1+7</f>
        <v>46539</v>
      </c>
      <c r="BH1" s="15">
        <f t="shared" ref="BH1" ca="1" si="10">BG1+7</f>
        <v>46546</v>
      </c>
      <c r="BI1" s="15">
        <f t="shared" ref="BI1" ca="1" si="11">BH1+7</f>
        <v>46553</v>
      </c>
      <c r="BJ1" s="15">
        <f t="shared" ref="BJ1" ca="1" si="12">BI1+7</f>
        <v>46560</v>
      </c>
      <c r="BK1" s="15">
        <f t="shared" ref="BK1" ca="1" si="13">BJ1+7</f>
        <v>46567</v>
      </c>
      <c r="BL1" s="15">
        <f t="shared" ref="BL1" ca="1" si="14">BK1+7</f>
        <v>46574</v>
      </c>
      <c r="BM1" s="15">
        <f t="shared" ref="BM1" ca="1" si="15">BL1+7</f>
        <v>46581</v>
      </c>
      <c r="BN1" s="15">
        <f t="shared" ref="BN1" ca="1" si="16">BM1+7</f>
        <v>46588</v>
      </c>
      <c r="BO1" s="15">
        <f t="shared" ref="BO1" ca="1" si="17">BN1+7</f>
        <v>46595</v>
      </c>
      <c r="BP1" s="15">
        <f t="shared" ref="BP1" ca="1" si="18">BO1+7</f>
        <v>46602</v>
      </c>
      <c r="BQ1" s="15">
        <f t="shared" ref="BQ1" ca="1" si="19">BP1+7</f>
        <v>46609</v>
      </c>
      <c r="BR1" s="15">
        <f t="shared" ref="BR1" ca="1" si="20">BQ1+7</f>
        <v>46616</v>
      </c>
      <c r="BS1" s="15">
        <f t="shared" ref="BS1" ca="1" si="21">BR1+7</f>
        <v>46623</v>
      </c>
      <c r="BT1" s="15">
        <f t="shared" ref="BT1" ca="1" si="22">BS1+7</f>
        <v>46630</v>
      </c>
      <c r="BU1" s="15">
        <f t="shared" ref="BU1" ca="1" si="23">BT1+7</f>
        <v>46637</v>
      </c>
      <c r="BV1" s="15">
        <f t="shared" ref="BV1" ca="1" si="24">BU1+7</f>
        <v>46644</v>
      </c>
      <c r="BW1" s="15">
        <f t="shared" ref="BW1" ca="1" si="25">BV1+7</f>
        <v>46651</v>
      </c>
      <c r="BX1" s="15">
        <f t="shared" ref="BX1" ca="1" si="26">BW1+7</f>
        <v>46658</v>
      </c>
      <c r="BY1" s="15">
        <f t="shared" ref="BY1" ca="1" si="27">BX1+7</f>
        <v>46665</v>
      </c>
      <c r="BZ1" s="15">
        <f t="shared" ref="BZ1" ca="1" si="28">BY1+7</f>
        <v>46672</v>
      </c>
      <c r="CA1" s="15">
        <f t="shared" ref="CA1" ca="1" si="29">BZ1+7</f>
        <v>46679</v>
      </c>
      <c r="CB1" s="15">
        <f t="shared" ref="CB1" ca="1" si="30">CA1+7</f>
        <v>46686</v>
      </c>
      <c r="CC1" s="15">
        <f t="shared" ref="CC1" ca="1" si="31">CB1+7</f>
        <v>46693</v>
      </c>
      <c r="CD1" s="15">
        <f t="shared" ref="CD1" ca="1" si="32">CC1+7</f>
        <v>46700</v>
      </c>
      <c r="CE1" s="15">
        <f t="shared" ref="CE1" ca="1" si="33">CD1+7</f>
        <v>46707</v>
      </c>
      <c r="CF1" s="15">
        <f t="shared" ref="CF1" ca="1" si="34">CE1+7</f>
        <v>46714</v>
      </c>
      <c r="CG1" s="15">
        <f t="shared" ref="CG1" ca="1" si="35">CF1+7</f>
        <v>46721</v>
      </c>
      <c r="CH1" s="15">
        <f t="shared" ref="CH1" ca="1" si="36">CG1+7</f>
        <v>46728</v>
      </c>
      <c r="CI1" s="15">
        <f t="shared" ref="CI1" ca="1" si="37">CH1+7</f>
        <v>46735</v>
      </c>
      <c r="CJ1" s="15">
        <f t="shared" ref="CJ1" ca="1" si="38">CI1+7</f>
        <v>46742</v>
      </c>
      <c r="CK1" s="15">
        <f t="shared" ref="CK1" ca="1" si="39">CJ1+7</f>
        <v>46749</v>
      </c>
    </row>
    <row r="2" spans="1:90" ht="18" customHeight="1">
      <c r="A2" s="18" t="s">
        <v>0</v>
      </c>
      <c r="B2" s="18" t="s">
        <v>1</v>
      </c>
      <c r="C2" s="18" t="s">
        <v>10</v>
      </c>
      <c r="D2" s="8" t="s">
        <v>5</v>
      </c>
      <c r="E2" s="18" t="s">
        <v>6</v>
      </c>
      <c r="F2" s="18" t="s">
        <v>89</v>
      </c>
      <c r="G2" s="18" t="s">
        <v>90</v>
      </c>
      <c r="H2" s="18" t="s">
        <v>91</v>
      </c>
      <c r="I2" s="18" t="s">
        <v>92</v>
      </c>
      <c r="J2" s="18" t="s">
        <v>4</v>
      </c>
      <c r="K2" s="18" t="s">
        <v>8</v>
      </c>
      <c r="L2" s="18" t="s">
        <v>2</v>
      </c>
      <c r="M2" s="18" t="s">
        <v>3</v>
      </c>
      <c r="O2" s="2" t="e" cm="1" vm="4">
        <f t="array" aca="1" ref="O2" ca="1">_xlfn._xlws.PY(0,1,A2:M1037)</f>
        <v>#VALUE!</v>
      </c>
      <c r="P2" t="e" cm="1" vm="5">
        <f t="array" aca="1" ref="P2" ca="1">_xlfn._xlws.PY(1,1,O2)</f>
        <v>#VALUE!</v>
      </c>
      <c r="Q2" s="6" t="str" cm="1">
        <f t="array" aca="1" ref="Q2:Z25" ca="1">_xlfn._xlws.PY(2,0,P2)</f>
        <v>CalcDuration</v>
      </c>
      <c r="R2" s="6" t="str">
        <f ca="1"/>
        <v>Start</v>
      </c>
      <c r="S2" s="6" t="str">
        <f ca="1"/>
        <v>Finish</v>
      </c>
      <c r="T2" s="6" t="str">
        <f ca="1"/>
        <v>EarlyStart</v>
      </c>
      <c r="U2" s="6" t="str">
        <f ca="1"/>
        <v>EarlyFinish</v>
      </c>
      <c r="V2" s="6" t="str">
        <f ca="1"/>
        <v>LateStart</v>
      </c>
      <c r="W2" s="6" t="str">
        <f ca="1"/>
        <v>LateFinish</v>
      </c>
      <c r="X2" s="6" t="str">
        <f ca="1"/>
        <v>FreeFloat</v>
      </c>
      <c r="Y2" s="6" t="str">
        <f ca="1"/>
        <v>TotalFinishFloat</v>
      </c>
      <c r="Z2" s="33" t="str">
        <f ca="1"/>
        <v>IsCritical</v>
      </c>
      <c r="AA2" s="35"/>
      <c r="AB2" s="36"/>
      <c r="AC2" s="36"/>
      <c r="AD2" s="37"/>
      <c r="AE2" s="35"/>
      <c r="AF2" s="36"/>
      <c r="AG2" s="36"/>
      <c r="AH2" s="37"/>
      <c r="AI2" s="35"/>
      <c r="AJ2" s="36"/>
      <c r="AK2" s="45"/>
      <c r="AL2" s="51"/>
      <c r="AM2" s="48"/>
      <c r="AN2" s="43"/>
      <c r="AO2" s="36"/>
      <c r="AP2" s="36"/>
      <c r="AQ2" s="37"/>
      <c r="AR2" s="35"/>
      <c r="AS2" s="36"/>
      <c r="AT2" s="36"/>
      <c r="AU2" s="37"/>
      <c r="AV2" s="35"/>
      <c r="AW2" s="36"/>
      <c r="AX2" s="36"/>
      <c r="AY2" s="36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6" t="str" cm="1">
        <f t="array" aca="1" ref="CL2:CL25" ca="1">_xlfn._xlws.PY(3,0,P2)</f>
        <v>ScheduleWarning</v>
      </c>
    </row>
    <row r="3" spans="1:90" ht="18.75" customHeight="1">
      <c r="A3" s="30" t="s">
        <v>112</v>
      </c>
      <c r="B3" s="18" t="s">
        <v>111</v>
      </c>
      <c r="C3" s="19"/>
      <c r="D3" s="10" t="s">
        <v>93</v>
      </c>
      <c r="E3" s="27"/>
      <c r="F3" s="20"/>
      <c r="G3" s="20"/>
      <c r="H3" s="20"/>
      <c r="I3" s="21"/>
      <c r="J3" s="18">
        <v>0</v>
      </c>
      <c r="K3" s="24"/>
      <c r="L3" s="19" t="s">
        <v>153</v>
      </c>
      <c r="M3" s="25"/>
      <c r="N3" s="7"/>
      <c r="Q3" s="6">
        <f ca="1"/>
        <v>60</v>
      </c>
      <c r="R3" s="11" vm="6">
        <f ca="1"/>
        <v>46315</v>
      </c>
      <c r="S3" s="11" vm="7">
        <f ca="1"/>
        <v>46735</v>
      </c>
      <c r="T3" s="17">
        <f ca="1"/>
        <v>0</v>
      </c>
      <c r="U3" s="17">
        <f ca="1"/>
        <v>60</v>
      </c>
      <c r="V3" s="17" t="str">
        <f ca="1"/>
        <v/>
      </c>
      <c r="W3" s="17" t="str">
        <f ca="1"/>
        <v/>
      </c>
      <c r="X3" s="17" t="str">
        <f ca="1"/>
        <v/>
      </c>
      <c r="Y3" s="17" t="str">
        <f ca="1"/>
        <v/>
      </c>
      <c r="Z3" s="33" t="b">
        <f ca="1"/>
        <v>0</v>
      </c>
      <c r="AA3" s="38" t="str">
        <f t="shared" ref="AA3:AJ12" ca="1" si="40">IF($A3="","",IF($B3="Milestone",IF(AND(AA$1&lt;=$R3,AA$1+7&gt;$R3),"◆",""),IF(AND(AA$1&lt;$S3,AA$1+7&gt;$R3),IF($B3="Summary","=",IF($B3="Activity",IF($Z3=TRUE,"X","O"),"")),"")))</f>
        <v>=</v>
      </c>
      <c r="AB3" s="16" t="str">
        <f t="shared" ca="1" si="40"/>
        <v>=</v>
      </c>
      <c r="AC3" s="16" t="str">
        <f t="shared" ca="1" si="40"/>
        <v>=</v>
      </c>
      <c r="AD3" s="39" t="str">
        <f t="shared" ca="1" si="40"/>
        <v>=</v>
      </c>
      <c r="AE3" s="38" t="str">
        <f t="shared" ca="1" si="40"/>
        <v>=</v>
      </c>
      <c r="AF3" s="16" t="str">
        <f t="shared" ca="1" si="40"/>
        <v>=</v>
      </c>
      <c r="AG3" s="16" t="str">
        <f t="shared" ca="1" si="40"/>
        <v>=</v>
      </c>
      <c r="AH3" s="39" t="str">
        <f t="shared" ca="1" si="40"/>
        <v>=</v>
      </c>
      <c r="AI3" s="38" t="str">
        <f t="shared" ca="1" si="40"/>
        <v>=</v>
      </c>
      <c r="AJ3" s="16" t="str">
        <f t="shared" ca="1" si="40"/>
        <v>=</v>
      </c>
      <c r="AK3" s="46" t="str">
        <f t="shared" ref="AK3:AT12" ca="1" si="41">IF($A3="","",IF($B3="Milestone",IF(AND(AK$1&lt;=$R3,AK$1+7&gt;$R3),"◆",""),IF(AND(AK$1&lt;$S3,AK$1+7&gt;$R3),IF($B3="Summary","=",IF($B3="Activity",IF($Z3=TRUE,"X","O"),"")),"")))</f>
        <v>=</v>
      </c>
      <c r="AL3" s="52" t="str">
        <f t="shared" ca="1" si="41"/>
        <v>=</v>
      </c>
      <c r="AM3" s="49" t="str">
        <f t="shared" ca="1" si="41"/>
        <v>=</v>
      </c>
      <c r="AN3" s="34" t="str">
        <f t="shared" ca="1" si="41"/>
        <v>=</v>
      </c>
      <c r="AO3" s="16" t="str">
        <f t="shared" ca="1" si="41"/>
        <v>=</v>
      </c>
      <c r="AP3" s="16" t="str">
        <f t="shared" ca="1" si="41"/>
        <v>=</v>
      </c>
      <c r="AQ3" s="39" t="str">
        <f t="shared" ca="1" si="41"/>
        <v>=</v>
      </c>
      <c r="AR3" s="38" t="str">
        <f t="shared" ca="1" si="41"/>
        <v>=</v>
      </c>
      <c r="AS3" s="16" t="str">
        <f t="shared" ca="1" si="41"/>
        <v>=</v>
      </c>
      <c r="AT3" s="16" t="str">
        <f t="shared" ca="1" si="41"/>
        <v>=</v>
      </c>
      <c r="AU3" s="39" t="str">
        <f t="shared" ref="AU3:BD12" ca="1" si="42">IF($A3="","",IF($B3="Milestone",IF(AND(AU$1&lt;=$R3,AU$1+7&gt;$R3),"◆",""),IF(AND(AU$1&lt;$S3,AU$1+7&gt;$R3),IF($B3="Summary","=",IF($B3="Activity",IF($Z3=TRUE,"X","O"),"")),"")))</f>
        <v>=</v>
      </c>
      <c r="AV3" s="38" t="str">
        <f t="shared" ca="1" si="42"/>
        <v>=</v>
      </c>
      <c r="AW3" s="16" t="str">
        <f t="shared" ca="1" si="42"/>
        <v>=</v>
      </c>
      <c r="AX3" s="16" t="str">
        <f t="shared" ca="1" si="42"/>
        <v>=</v>
      </c>
      <c r="AY3" s="16" t="str">
        <f t="shared" ca="1" si="42"/>
        <v>=</v>
      </c>
      <c r="AZ3" s="39" t="str">
        <f t="shared" ca="1" si="42"/>
        <v>=</v>
      </c>
      <c r="BA3" s="39" t="str">
        <f t="shared" ca="1" si="42"/>
        <v>=</v>
      </c>
      <c r="BB3" s="39" t="str">
        <f t="shared" ca="1" si="42"/>
        <v>=</v>
      </c>
      <c r="BC3" s="39" t="str">
        <f t="shared" ca="1" si="42"/>
        <v>=</v>
      </c>
      <c r="BD3" s="39" t="str">
        <f t="shared" ca="1" si="42"/>
        <v>=</v>
      </c>
      <c r="BE3" s="39" t="str">
        <f t="shared" ref="BE3:BN12" ca="1" si="43">IF($A3="","",IF($B3="Milestone",IF(AND(BE$1&lt;=$R3,BE$1+7&gt;$R3),"◆",""),IF(AND(BE$1&lt;$S3,BE$1+7&gt;$R3),IF($B3="Summary","=",IF($B3="Activity",IF($Z3=TRUE,"X","O"),"")),"")))</f>
        <v>=</v>
      </c>
      <c r="BF3" s="39" t="str">
        <f t="shared" ca="1" si="43"/>
        <v>=</v>
      </c>
      <c r="BG3" s="39" t="str">
        <f t="shared" ca="1" si="43"/>
        <v>=</v>
      </c>
      <c r="BH3" s="39" t="str">
        <f t="shared" ca="1" si="43"/>
        <v>=</v>
      </c>
      <c r="BI3" s="39" t="str">
        <f t="shared" ca="1" si="43"/>
        <v>=</v>
      </c>
      <c r="BJ3" s="39" t="str">
        <f t="shared" ca="1" si="43"/>
        <v>=</v>
      </c>
      <c r="BK3" s="39" t="str">
        <f t="shared" ca="1" si="43"/>
        <v>=</v>
      </c>
      <c r="BL3" s="39" t="str">
        <f t="shared" ca="1" si="43"/>
        <v>=</v>
      </c>
      <c r="BM3" s="39" t="str">
        <f t="shared" ca="1" si="43"/>
        <v>=</v>
      </c>
      <c r="BN3" s="39" t="str">
        <f t="shared" ca="1" si="43"/>
        <v>=</v>
      </c>
      <c r="BO3" s="39" t="str">
        <f t="shared" ref="BO3:BX12" ca="1" si="44">IF($A3="","",IF($B3="Milestone",IF(AND(BO$1&lt;=$R3,BO$1+7&gt;$R3),"◆",""),IF(AND(BO$1&lt;$S3,BO$1+7&gt;$R3),IF($B3="Summary","=",IF($B3="Activity",IF($Z3=TRUE,"X","O"),"")),"")))</f>
        <v>=</v>
      </c>
      <c r="BP3" s="39" t="str">
        <f t="shared" ca="1" si="44"/>
        <v>=</v>
      </c>
      <c r="BQ3" s="39" t="str">
        <f t="shared" ca="1" si="44"/>
        <v>=</v>
      </c>
      <c r="BR3" s="39" t="str">
        <f t="shared" ca="1" si="44"/>
        <v>=</v>
      </c>
      <c r="BS3" s="39" t="str">
        <f t="shared" ca="1" si="44"/>
        <v>=</v>
      </c>
      <c r="BT3" s="39" t="str">
        <f t="shared" ca="1" si="44"/>
        <v>=</v>
      </c>
      <c r="BU3" s="39" t="str">
        <f t="shared" ca="1" si="44"/>
        <v>=</v>
      </c>
      <c r="BV3" s="39" t="str">
        <f t="shared" ca="1" si="44"/>
        <v>=</v>
      </c>
      <c r="BW3" s="39" t="str">
        <f t="shared" ca="1" si="44"/>
        <v>=</v>
      </c>
      <c r="BX3" s="39" t="str">
        <f t="shared" ca="1" si="44"/>
        <v>=</v>
      </c>
      <c r="BY3" s="39" t="str">
        <f t="shared" ref="BY3:CK12" ca="1" si="45">IF($A3="","",IF($B3="Milestone",IF(AND(BY$1&lt;=$R3,BY$1+7&gt;$R3),"◆",""),IF(AND(BY$1&lt;$S3,BY$1+7&gt;$R3),IF($B3="Summary","=",IF($B3="Activity",IF($Z3=TRUE,"X","O"),"")),"")))</f>
        <v>=</v>
      </c>
      <c r="BZ3" s="39" t="str">
        <f t="shared" ca="1" si="45"/>
        <v>=</v>
      </c>
      <c r="CA3" s="39" t="str">
        <f t="shared" ca="1" si="45"/>
        <v>=</v>
      </c>
      <c r="CB3" s="39" t="str">
        <f t="shared" ca="1" si="45"/>
        <v>=</v>
      </c>
      <c r="CC3" s="39" t="str">
        <f t="shared" ca="1" si="45"/>
        <v>=</v>
      </c>
      <c r="CD3" s="39" t="str">
        <f t="shared" ca="1" si="45"/>
        <v>=</v>
      </c>
      <c r="CE3" s="39" t="str">
        <f t="shared" ca="1" si="45"/>
        <v>=</v>
      </c>
      <c r="CF3" s="39" t="str">
        <f t="shared" ca="1" si="45"/>
        <v>=</v>
      </c>
      <c r="CG3" s="39" t="str">
        <f t="shared" ca="1" si="45"/>
        <v>=</v>
      </c>
      <c r="CH3" s="39" t="str">
        <f t="shared" ca="1" si="45"/>
        <v>=</v>
      </c>
      <c r="CI3" s="39" t="str">
        <f t="shared" ca="1" si="45"/>
        <v/>
      </c>
      <c r="CJ3" s="39" t="str">
        <f t="shared" ca="1" si="45"/>
        <v/>
      </c>
      <c r="CK3" s="39" t="str">
        <f t="shared" ca="1" si="45"/>
        <v/>
      </c>
      <c r="CL3" t="str">
        <f ca="1"/>
        <v/>
      </c>
    </row>
    <row r="4" spans="1:90" ht="18.75" customHeight="1">
      <c r="A4" s="30" t="s">
        <v>113</v>
      </c>
      <c r="B4" s="18" t="s">
        <v>9</v>
      </c>
      <c r="C4" s="28"/>
      <c r="D4" s="10" t="s">
        <v>139</v>
      </c>
      <c r="E4" s="22"/>
      <c r="F4" s="20"/>
      <c r="G4" s="20"/>
      <c r="H4" s="20"/>
      <c r="I4" s="23"/>
      <c r="J4" s="18">
        <v>0</v>
      </c>
      <c r="K4" s="24"/>
      <c r="L4" s="20"/>
      <c r="M4" s="25">
        <v>46315</v>
      </c>
      <c r="Q4" s="6">
        <f ca="1"/>
        <v>0</v>
      </c>
      <c r="R4" s="11" vm="6">
        <f ca="1"/>
        <v>46315</v>
      </c>
      <c r="S4" s="11" vm="6">
        <f ca="1"/>
        <v>46315</v>
      </c>
      <c r="T4" s="17">
        <f ca="1"/>
        <v>0</v>
      </c>
      <c r="U4" s="17">
        <f ca="1"/>
        <v>0</v>
      </c>
      <c r="V4" s="17">
        <f ca="1"/>
        <v>0</v>
      </c>
      <c r="W4" s="17">
        <f ca="1"/>
        <v>0</v>
      </c>
      <c r="X4" s="17">
        <f ca="1"/>
        <v>0</v>
      </c>
      <c r="Y4" s="17">
        <f ca="1"/>
        <v>0</v>
      </c>
      <c r="Z4" s="33" t="b">
        <f ca="1"/>
        <v>1</v>
      </c>
      <c r="AA4" s="38" t="str">
        <f t="shared" ca="1" si="40"/>
        <v>◆</v>
      </c>
      <c r="AB4" s="16" t="str">
        <f t="shared" ca="1" si="40"/>
        <v/>
      </c>
      <c r="AC4" s="16" t="str">
        <f t="shared" ca="1" si="40"/>
        <v/>
      </c>
      <c r="AD4" s="39" t="str">
        <f t="shared" ca="1" si="40"/>
        <v/>
      </c>
      <c r="AE4" s="38" t="str">
        <f t="shared" ca="1" si="40"/>
        <v/>
      </c>
      <c r="AF4" s="16" t="str">
        <f t="shared" ca="1" si="40"/>
        <v/>
      </c>
      <c r="AG4" s="16" t="str">
        <f t="shared" ca="1" si="40"/>
        <v/>
      </c>
      <c r="AH4" s="39" t="str">
        <f t="shared" ca="1" si="40"/>
        <v/>
      </c>
      <c r="AI4" s="38" t="str">
        <f t="shared" ca="1" si="40"/>
        <v/>
      </c>
      <c r="AJ4" s="16" t="str">
        <f t="shared" ca="1" si="40"/>
        <v/>
      </c>
      <c r="AK4" s="46" t="str">
        <f t="shared" ca="1" si="41"/>
        <v/>
      </c>
      <c r="AL4" s="52" t="str">
        <f t="shared" ca="1" si="41"/>
        <v/>
      </c>
      <c r="AM4" s="49" t="str">
        <f t="shared" ca="1" si="41"/>
        <v/>
      </c>
      <c r="AN4" s="34" t="str">
        <f t="shared" ca="1" si="41"/>
        <v/>
      </c>
      <c r="AO4" s="16" t="str">
        <f t="shared" ca="1" si="41"/>
        <v/>
      </c>
      <c r="AP4" s="16" t="str">
        <f t="shared" ca="1" si="41"/>
        <v/>
      </c>
      <c r="AQ4" s="39" t="str">
        <f t="shared" ca="1" si="41"/>
        <v/>
      </c>
      <c r="AR4" s="38" t="str">
        <f t="shared" ca="1" si="41"/>
        <v/>
      </c>
      <c r="AS4" s="16" t="str">
        <f t="shared" ca="1" si="41"/>
        <v/>
      </c>
      <c r="AT4" s="16" t="str">
        <f t="shared" ca="1" si="41"/>
        <v/>
      </c>
      <c r="AU4" s="39" t="str">
        <f t="shared" ca="1" si="42"/>
        <v/>
      </c>
      <c r="AV4" s="38" t="str">
        <f t="shared" ca="1" si="42"/>
        <v/>
      </c>
      <c r="AW4" s="16" t="str">
        <f t="shared" ca="1" si="42"/>
        <v/>
      </c>
      <c r="AX4" s="16" t="str">
        <f t="shared" ca="1" si="42"/>
        <v/>
      </c>
      <c r="AY4" s="16" t="str">
        <f t="shared" ca="1" si="42"/>
        <v/>
      </c>
      <c r="AZ4" s="39" t="str">
        <f t="shared" ca="1" si="42"/>
        <v/>
      </c>
      <c r="BA4" s="39" t="str">
        <f t="shared" ca="1" si="42"/>
        <v/>
      </c>
      <c r="BB4" s="39" t="str">
        <f t="shared" ca="1" si="42"/>
        <v/>
      </c>
      <c r="BC4" s="39" t="str">
        <f t="shared" ca="1" si="42"/>
        <v/>
      </c>
      <c r="BD4" s="39" t="str">
        <f t="shared" ca="1" si="42"/>
        <v/>
      </c>
      <c r="BE4" s="39" t="str">
        <f t="shared" ca="1" si="43"/>
        <v/>
      </c>
      <c r="BF4" s="39" t="str">
        <f t="shared" ca="1" si="43"/>
        <v/>
      </c>
      <c r="BG4" s="39" t="str">
        <f t="shared" ca="1" si="43"/>
        <v/>
      </c>
      <c r="BH4" s="39" t="str">
        <f t="shared" ca="1" si="43"/>
        <v/>
      </c>
      <c r="BI4" s="39" t="str">
        <f t="shared" ca="1" si="43"/>
        <v/>
      </c>
      <c r="BJ4" s="39" t="str">
        <f t="shared" ca="1" si="43"/>
        <v/>
      </c>
      <c r="BK4" s="39" t="str">
        <f t="shared" ca="1" si="43"/>
        <v/>
      </c>
      <c r="BL4" s="39" t="str">
        <f t="shared" ca="1" si="43"/>
        <v/>
      </c>
      <c r="BM4" s="39" t="str">
        <f t="shared" ca="1" si="43"/>
        <v/>
      </c>
      <c r="BN4" s="39" t="str">
        <f t="shared" ca="1" si="43"/>
        <v/>
      </c>
      <c r="BO4" s="39" t="str">
        <f t="shared" ca="1" si="44"/>
        <v/>
      </c>
      <c r="BP4" s="39" t="str">
        <f t="shared" ca="1" si="44"/>
        <v/>
      </c>
      <c r="BQ4" s="39" t="str">
        <f t="shared" ca="1" si="44"/>
        <v/>
      </c>
      <c r="BR4" s="39" t="str">
        <f t="shared" ca="1" si="44"/>
        <v/>
      </c>
      <c r="BS4" s="39" t="str">
        <f t="shared" ca="1" si="44"/>
        <v/>
      </c>
      <c r="BT4" s="39" t="str">
        <f t="shared" ca="1" si="44"/>
        <v/>
      </c>
      <c r="BU4" s="39" t="str">
        <f t="shared" ca="1" si="44"/>
        <v/>
      </c>
      <c r="BV4" s="39" t="str">
        <f t="shared" ca="1" si="44"/>
        <v/>
      </c>
      <c r="BW4" s="39" t="str">
        <f t="shared" ca="1" si="44"/>
        <v/>
      </c>
      <c r="BX4" s="39" t="str">
        <f t="shared" ca="1" si="44"/>
        <v/>
      </c>
      <c r="BY4" s="39" t="str">
        <f t="shared" ca="1" si="45"/>
        <v/>
      </c>
      <c r="BZ4" s="39" t="str">
        <f t="shared" ca="1" si="45"/>
        <v/>
      </c>
      <c r="CA4" s="39" t="str">
        <f t="shared" ca="1" si="45"/>
        <v/>
      </c>
      <c r="CB4" s="39" t="str">
        <f t="shared" ca="1" si="45"/>
        <v/>
      </c>
      <c r="CC4" s="39" t="str">
        <f t="shared" ca="1" si="45"/>
        <v/>
      </c>
      <c r="CD4" s="39" t="str">
        <f t="shared" ca="1" si="45"/>
        <v/>
      </c>
      <c r="CE4" s="39" t="str">
        <f t="shared" ca="1" si="45"/>
        <v/>
      </c>
      <c r="CF4" s="39" t="str">
        <f t="shared" ca="1" si="45"/>
        <v/>
      </c>
      <c r="CG4" s="39" t="str">
        <f t="shared" ca="1" si="45"/>
        <v/>
      </c>
      <c r="CH4" s="39" t="str">
        <f t="shared" ca="1" si="45"/>
        <v/>
      </c>
      <c r="CI4" s="39" t="str">
        <f t="shared" ca="1" si="45"/>
        <v/>
      </c>
      <c r="CJ4" s="39" t="str">
        <f t="shared" ca="1" si="45"/>
        <v/>
      </c>
      <c r="CK4" s="39" t="str">
        <f t="shared" ca="1" si="45"/>
        <v/>
      </c>
      <c r="CL4" t="str">
        <f ca="1"/>
        <v/>
      </c>
    </row>
    <row r="5" spans="1:90" ht="18.75" customHeight="1">
      <c r="A5" s="30" t="s">
        <v>114</v>
      </c>
      <c r="B5" s="18" t="s">
        <v>7</v>
      </c>
      <c r="C5" s="28"/>
      <c r="D5" s="10" t="s">
        <v>94</v>
      </c>
      <c r="E5" s="22"/>
      <c r="F5" s="20"/>
      <c r="G5" s="20"/>
      <c r="H5" s="20"/>
      <c r="I5" s="23"/>
      <c r="J5" s="18">
        <v>4</v>
      </c>
      <c r="K5" s="24"/>
      <c r="L5" s="28" t="s">
        <v>140</v>
      </c>
      <c r="Q5" s="6">
        <f ca="1"/>
        <v>4</v>
      </c>
      <c r="R5" s="11" vm="6">
        <f ca="1"/>
        <v>46315</v>
      </c>
      <c r="S5" s="11" vm="8">
        <f ca="1"/>
        <v>46343</v>
      </c>
      <c r="T5" s="17">
        <f ca="1"/>
        <v>0</v>
      </c>
      <c r="U5" s="17">
        <f ca="1"/>
        <v>4</v>
      </c>
      <c r="V5" s="17">
        <f ca="1"/>
        <v>0</v>
      </c>
      <c r="W5" s="17">
        <f ca="1"/>
        <v>4</v>
      </c>
      <c r="X5" s="17">
        <f ca="1"/>
        <v>0</v>
      </c>
      <c r="Y5" s="17">
        <f ca="1"/>
        <v>0</v>
      </c>
      <c r="Z5" s="33" t="b">
        <f ca="1"/>
        <v>1</v>
      </c>
      <c r="AA5" s="38" t="str">
        <f t="shared" ca="1" si="40"/>
        <v>X</v>
      </c>
      <c r="AB5" s="16" t="str">
        <f t="shared" ca="1" si="40"/>
        <v>X</v>
      </c>
      <c r="AC5" s="16" t="str">
        <f t="shared" ca="1" si="40"/>
        <v>X</v>
      </c>
      <c r="AD5" s="39" t="str">
        <f t="shared" ca="1" si="40"/>
        <v>X</v>
      </c>
      <c r="AE5" s="38" t="str">
        <f t="shared" ca="1" si="40"/>
        <v/>
      </c>
      <c r="AF5" s="16" t="str">
        <f t="shared" ca="1" si="40"/>
        <v/>
      </c>
      <c r="AG5" s="16" t="str">
        <f t="shared" ca="1" si="40"/>
        <v/>
      </c>
      <c r="AH5" s="39" t="str">
        <f t="shared" ca="1" si="40"/>
        <v/>
      </c>
      <c r="AI5" s="38" t="str">
        <f t="shared" ca="1" si="40"/>
        <v/>
      </c>
      <c r="AJ5" s="16" t="str">
        <f t="shared" ca="1" si="40"/>
        <v/>
      </c>
      <c r="AK5" s="46" t="str">
        <f t="shared" ca="1" si="41"/>
        <v/>
      </c>
      <c r="AL5" s="52" t="str">
        <f t="shared" ca="1" si="41"/>
        <v/>
      </c>
      <c r="AM5" s="49" t="str">
        <f t="shared" ca="1" si="41"/>
        <v/>
      </c>
      <c r="AN5" s="34" t="str">
        <f t="shared" ca="1" si="41"/>
        <v/>
      </c>
      <c r="AO5" s="16" t="str">
        <f t="shared" ca="1" si="41"/>
        <v/>
      </c>
      <c r="AP5" s="16" t="str">
        <f t="shared" ca="1" si="41"/>
        <v/>
      </c>
      <c r="AQ5" s="39" t="str">
        <f t="shared" ca="1" si="41"/>
        <v/>
      </c>
      <c r="AR5" s="38" t="str">
        <f t="shared" ca="1" si="41"/>
        <v/>
      </c>
      <c r="AS5" s="16" t="str">
        <f t="shared" ca="1" si="41"/>
        <v/>
      </c>
      <c r="AT5" s="16" t="str">
        <f t="shared" ca="1" si="41"/>
        <v/>
      </c>
      <c r="AU5" s="39" t="str">
        <f t="shared" ca="1" si="42"/>
        <v/>
      </c>
      <c r="AV5" s="38" t="str">
        <f t="shared" ca="1" si="42"/>
        <v/>
      </c>
      <c r="AW5" s="16" t="str">
        <f t="shared" ca="1" si="42"/>
        <v/>
      </c>
      <c r="AX5" s="16" t="str">
        <f t="shared" ca="1" si="42"/>
        <v/>
      </c>
      <c r="AY5" s="16" t="str">
        <f t="shared" ca="1" si="42"/>
        <v/>
      </c>
      <c r="AZ5" s="39" t="str">
        <f t="shared" ca="1" si="42"/>
        <v/>
      </c>
      <c r="BA5" s="39" t="str">
        <f t="shared" ca="1" si="42"/>
        <v/>
      </c>
      <c r="BB5" s="39" t="str">
        <f t="shared" ca="1" si="42"/>
        <v/>
      </c>
      <c r="BC5" s="39" t="str">
        <f t="shared" ca="1" si="42"/>
        <v/>
      </c>
      <c r="BD5" s="39" t="str">
        <f t="shared" ca="1" si="42"/>
        <v/>
      </c>
      <c r="BE5" s="39" t="str">
        <f t="shared" ca="1" si="43"/>
        <v/>
      </c>
      <c r="BF5" s="39" t="str">
        <f t="shared" ca="1" si="43"/>
        <v/>
      </c>
      <c r="BG5" s="39" t="str">
        <f t="shared" ca="1" si="43"/>
        <v/>
      </c>
      <c r="BH5" s="39" t="str">
        <f t="shared" ca="1" si="43"/>
        <v/>
      </c>
      <c r="BI5" s="39" t="str">
        <f t="shared" ca="1" si="43"/>
        <v/>
      </c>
      <c r="BJ5" s="39" t="str">
        <f t="shared" ca="1" si="43"/>
        <v/>
      </c>
      <c r="BK5" s="39" t="str">
        <f t="shared" ca="1" si="43"/>
        <v/>
      </c>
      <c r="BL5" s="39" t="str">
        <f t="shared" ca="1" si="43"/>
        <v/>
      </c>
      <c r="BM5" s="39" t="str">
        <f t="shared" ca="1" si="43"/>
        <v/>
      </c>
      <c r="BN5" s="39" t="str">
        <f t="shared" ca="1" si="43"/>
        <v/>
      </c>
      <c r="BO5" s="39" t="str">
        <f t="shared" ca="1" si="44"/>
        <v/>
      </c>
      <c r="BP5" s="39" t="str">
        <f t="shared" ca="1" si="44"/>
        <v/>
      </c>
      <c r="BQ5" s="39" t="str">
        <f t="shared" ca="1" si="44"/>
        <v/>
      </c>
      <c r="BR5" s="39" t="str">
        <f t="shared" ca="1" si="44"/>
        <v/>
      </c>
      <c r="BS5" s="39" t="str">
        <f t="shared" ca="1" si="44"/>
        <v/>
      </c>
      <c r="BT5" s="39" t="str">
        <f t="shared" ca="1" si="44"/>
        <v/>
      </c>
      <c r="BU5" s="39" t="str">
        <f t="shared" ca="1" si="44"/>
        <v/>
      </c>
      <c r="BV5" s="39" t="str">
        <f t="shared" ca="1" si="44"/>
        <v/>
      </c>
      <c r="BW5" s="39" t="str">
        <f t="shared" ca="1" si="44"/>
        <v/>
      </c>
      <c r="BX5" s="39" t="str">
        <f t="shared" ca="1" si="44"/>
        <v/>
      </c>
      <c r="BY5" s="39" t="str">
        <f t="shared" ca="1" si="45"/>
        <v/>
      </c>
      <c r="BZ5" s="39" t="str">
        <f t="shared" ca="1" si="45"/>
        <v/>
      </c>
      <c r="CA5" s="39" t="str">
        <f t="shared" ca="1" si="45"/>
        <v/>
      </c>
      <c r="CB5" s="39" t="str">
        <f t="shared" ca="1" si="45"/>
        <v/>
      </c>
      <c r="CC5" s="39" t="str">
        <f t="shared" ca="1" si="45"/>
        <v/>
      </c>
      <c r="CD5" s="39" t="str">
        <f t="shared" ca="1" si="45"/>
        <v/>
      </c>
      <c r="CE5" s="39" t="str">
        <f t="shared" ca="1" si="45"/>
        <v/>
      </c>
      <c r="CF5" s="39" t="str">
        <f t="shared" ca="1" si="45"/>
        <v/>
      </c>
      <c r="CG5" s="39" t="str">
        <f t="shared" ca="1" si="45"/>
        <v/>
      </c>
      <c r="CH5" s="39" t="str">
        <f t="shared" ca="1" si="45"/>
        <v/>
      </c>
      <c r="CI5" s="39" t="str">
        <f t="shared" ca="1" si="45"/>
        <v/>
      </c>
      <c r="CJ5" s="39" t="str">
        <f t="shared" ca="1" si="45"/>
        <v/>
      </c>
      <c r="CK5" s="39" t="str">
        <f t="shared" ca="1" si="45"/>
        <v/>
      </c>
      <c r="CL5" t="str">
        <f ca="1"/>
        <v/>
      </c>
    </row>
    <row r="6" spans="1:90" ht="18.75" customHeight="1">
      <c r="A6" s="30" t="s">
        <v>115</v>
      </c>
      <c r="B6" s="18" t="s">
        <v>7</v>
      </c>
      <c r="C6" s="28"/>
      <c r="D6" s="10" t="s">
        <v>95</v>
      </c>
      <c r="E6" s="22"/>
      <c r="F6" s="20"/>
      <c r="G6" s="20"/>
      <c r="H6" s="20"/>
      <c r="I6" s="23"/>
      <c r="J6" s="18">
        <v>2</v>
      </c>
      <c r="K6" s="24"/>
      <c r="L6" s="28" t="s">
        <v>141</v>
      </c>
      <c r="Q6" s="6">
        <f ca="1"/>
        <v>2</v>
      </c>
      <c r="R6" s="11" vm="8">
        <f ca="1"/>
        <v>46343</v>
      </c>
      <c r="S6" s="11" vm="9">
        <f ca="1"/>
        <v>46357</v>
      </c>
      <c r="T6" s="17">
        <f ca="1"/>
        <v>4</v>
      </c>
      <c r="U6" s="17">
        <f ca="1"/>
        <v>6</v>
      </c>
      <c r="V6" s="17">
        <f ca="1"/>
        <v>5</v>
      </c>
      <c r="W6" s="17">
        <f ca="1"/>
        <v>7</v>
      </c>
      <c r="X6" s="17">
        <f ca="1"/>
        <v>0</v>
      </c>
      <c r="Y6" s="17">
        <f ca="1"/>
        <v>1</v>
      </c>
      <c r="Z6" s="33" t="b">
        <f ca="1"/>
        <v>0</v>
      </c>
      <c r="AA6" s="38" t="str">
        <f t="shared" ca="1" si="40"/>
        <v/>
      </c>
      <c r="AB6" s="16" t="str">
        <f t="shared" ca="1" si="40"/>
        <v/>
      </c>
      <c r="AC6" s="16" t="str">
        <f t="shared" ca="1" si="40"/>
        <v/>
      </c>
      <c r="AD6" s="39" t="str">
        <f t="shared" ca="1" si="40"/>
        <v/>
      </c>
      <c r="AE6" s="38" t="str">
        <f t="shared" ca="1" si="40"/>
        <v>O</v>
      </c>
      <c r="AF6" s="16" t="str">
        <f t="shared" ca="1" si="40"/>
        <v>O</v>
      </c>
      <c r="AG6" s="16" t="str">
        <f t="shared" ca="1" si="40"/>
        <v/>
      </c>
      <c r="AH6" s="39" t="str">
        <f t="shared" ca="1" si="40"/>
        <v/>
      </c>
      <c r="AI6" s="38" t="str">
        <f t="shared" ca="1" si="40"/>
        <v/>
      </c>
      <c r="AJ6" s="16" t="str">
        <f t="shared" ca="1" si="40"/>
        <v/>
      </c>
      <c r="AK6" s="46" t="str">
        <f t="shared" ca="1" si="41"/>
        <v/>
      </c>
      <c r="AL6" s="52" t="str">
        <f t="shared" ca="1" si="41"/>
        <v/>
      </c>
      <c r="AM6" s="49" t="str">
        <f t="shared" ca="1" si="41"/>
        <v/>
      </c>
      <c r="AN6" s="34" t="str">
        <f t="shared" ca="1" si="41"/>
        <v/>
      </c>
      <c r="AO6" s="16" t="str">
        <f t="shared" ca="1" si="41"/>
        <v/>
      </c>
      <c r="AP6" s="16" t="str">
        <f t="shared" ca="1" si="41"/>
        <v/>
      </c>
      <c r="AQ6" s="39" t="str">
        <f t="shared" ca="1" si="41"/>
        <v/>
      </c>
      <c r="AR6" s="38" t="str">
        <f t="shared" ca="1" si="41"/>
        <v/>
      </c>
      <c r="AS6" s="16" t="str">
        <f t="shared" ca="1" si="41"/>
        <v/>
      </c>
      <c r="AT6" s="16" t="str">
        <f t="shared" ca="1" si="41"/>
        <v/>
      </c>
      <c r="AU6" s="39" t="str">
        <f t="shared" ca="1" si="42"/>
        <v/>
      </c>
      <c r="AV6" s="38" t="str">
        <f t="shared" ca="1" si="42"/>
        <v/>
      </c>
      <c r="AW6" s="16" t="str">
        <f t="shared" ca="1" si="42"/>
        <v/>
      </c>
      <c r="AX6" s="16" t="str">
        <f t="shared" ca="1" si="42"/>
        <v/>
      </c>
      <c r="AY6" s="16" t="str">
        <f t="shared" ca="1" si="42"/>
        <v/>
      </c>
      <c r="AZ6" s="39" t="str">
        <f t="shared" ca="1" si="42"/>
        <v/>
      </c>
      <c r="BA6" s="39" t="str">
        <f t="shared" ca="1" si="42"/>
        <v/>
      </c>
      <c r="BB6" s="39" t="str">
        <f t="shared" ca="1" si="42"/>
        <v/>
      </c>
      <c r="BC6" s="39" t="str">
        <f t="shared" ca="1" si="42"/>
        <v/>
      </c>
      <c r="BD6" s="39" t="str">
        <f t="shared" ca="1" si="42"/>
        <v/>
      </c>
      <c r="BE6" s="39" t="str">
        <f t="shared" ca="1" si="43"/>
        <v/>
      </c>
      <c r="BF6" s="39" t="str">
        <f t="shared" ca="1" si="43"/>
        <v/>
      </c>
      <c r="BG6" s="39" t="str">
        <f t="shared" ca="1" si="43"/>
        <v/>
      </c>
      <c r="BH6" s="39" t="str">
        <f t="shared" ca="1" si="43"/>
        <v/>
      </c>
      <c r="BI6" s="39" t="str">
        <f t="shared" ca="1" si="43"/>
        <v/>
      </c>
      <c r="BJ6" s="39" t="str">
        <f t="shared" ca="1" si="43"/>
        <v/>
      </c>
      <c r="BK6" s="39" t="str">
        <f t="shared" ca="1" si="43"/>
        <v/>
      </c>
      <c r="BL6" s="39" t="str">
        <f t="shared" ca="1" si="43"/>
        <v/>
      </c>
      <c r="BM6" s="39" t="str">
        <f t="shared" ca="1" si="43"/>
        <v/>
      </c>
      <c r="BN6" s="39" t="str">
        <f t="shared" ca="1" si="43"/>
        <v/>
      </c>
      <c r="BO6" s="39" t="str">
        <f t="shared" ca="1" si="44"/>
        <v/>
      </c>
      <c r="BP6" s="39" t="str">
        <f t="shared" ca="1" si="44"/>
        <v/>
      </c>
      <c r="BQ6" s="39" t="str">
        <f t="shared" ca="1" si="44"/>
        <v/>
      </c>
      <c r="BR6" s="39" t="str">
        <f t="shared" ca="1" si="44"/>
        <v/>
      </c>
      <c r="BS6" s="39" t="str">
        <f t="shared" ca="1" si="44"/>
        <v/>
      </c>
      <c r="BT6" s="39" t="str">
        <f t="shared" ca="1" si="44"/>
        <v/>
      </c>
      <c r="BU6" s="39" t="str">
        <f t="shared" ca="1" si="44"/>
        <v/>
      </c>
      <c r="BV6" s="39" t="str">
        <f t="shared" ca="1" si="44"/>
        <v/>
      </c>
      <c r="BW6" s="39" t="str">
        <f t="shared" ca="1" si="44"/>
        <v/>
      </c>
      <c r="BX6" s="39" t="str">
        <f t="shared" ca="1" si="44"/>
        <v/>
      </c>
      <c r="BY6" s="39" t="str">
        <f t="shared" ca="1" si="45"/>
        <v/>
      </c>
      <c r="BZ6" s="39" t="str">
        <f t="shared" ca="1" si="45"/>
        <v/>
      </c>
      <c r="CA6" s="39" t="str">
        <f t="shared" ca="1" si="45"/>
        <v/>
      </c>
      <c r="CB6" s="39" t="str">
        <f t="shared" ca="1" si="45"/>
        <v/>
      </c>
      <c r="CC6" s="39" t="str">
        <f t="shared" ca="1" si="45"/>
        <v/>
      </c>
      <c r="CD6" s="39" t="str">
        <f t="shared" ca="1" si="45"/>
        <v/>
      </c>
      <c r="CE6" s="39" t="str">
        <f t="shared" ca="1" si="45"/>
        <v/>
      </c>
      <c r="CF6" s="39" t="str">
        <f t="shared" ca="1" si="45"/>
        <v/>
      </c>
      <c r="CG6" s="39" t="str">
        <f t="shared" ca="1" si="45"/>
        <v/>
      </c>
      <c r="CH6" s="39" t="str">
        <f t="shared" ca="1" si="45"/>
        <v/>
      </c>
      <c r="CI6" s="39" t="str">
        <f t="shared" ca="1" si="45"/>
        <v/>
      </c>
      <c r="CJ6" s="39" t="str">
        <f t="shared" ca="1" si="45"/>
        <v/>
      </c>
      <c r="CK6" s="39" t="str">
        <f t="shared" ca="1" si="45"/>
        <v/>
      </c>
      <c r="CL6" t="str">
        <f ca="1"/>
        <v/>
      </c>
    </row>
    <row r="7" spans="1:90" ht="18.75" customHeight="1">
      <c r="A7" s="30" t="s">
        <v>116</v>
      </c>
      <c r="B7" s="18" t="s">
        <v>7</v>
      </c>
      <c r="C7" s="28"/>
      <c r="D7" s="10" t="s">
        <v>96</v>
      </c>
      <c r="E7" s="22"/>
      <c r="F7" s="20"/>
      <c r="G7" s="20"/>
      <c r="H7" s="20"/>
      <c r="I7" s="23"/>
      <c r="J7" s="18">
        <v>7</v>
      </c>
      <c r="K7" s="24"/>
      <c r="L7" s="28" t="s">
        <v>141</v>
      </c>
      <c r="Q7" s="6">
        <f ca="1"/>
        <v>7</v>
      </c>
      <c r="R7" s="11" vm="8">
        <f ca="1"/>
        <v>46343</v>
      </c>
      <c r="S7" s="11" vm="10">
        <f ca="1"/>
        <v>46392</v>
      </c>
      <c r="T7" s="17">
        <f ca="1"/>
        <v>4</v>
      </c>
      <c r="U7" s="17">
        <f ca="1"/>
        <v>11</v>
      </c>
      <c r="V7" s="17">
        <f ca="1"/>
        <v>4</v>
      </c>
      <c r="W7" s="17">
        <f ca="1"/>
        <v>11</v>
      </c>
      <c r="X7" s="17">
        <f ca="1"/>
        <v>0</v>
      </c>
      <c r="Y7" s="17">
        <f ca="1"/>
        <v>0</v>
      </c>
      <c r="Z7" s="33" t="b">
        <f ca="1"/>
        <v>1</v>
      </c>
      <c r="AA7" s="38" t="str">
        <f t="shared" ca="1" si="40"/>
        <v/>
      </c>
      <c r="AB7" s="16" t="str">
        <f t="shared" ca="1" si="40"/>
        <v/>
      </c>
      <c r="AC7" s="16" t="str">
        <f t="shared" ca="1" si="40"/>
        <v/>
      </c>
      <c r="AD7" s="39" t="str">
        <f t="shared" ca="1" si="40"/>
        <v/>
      </c>
      <c r="AE7" s="38" t="str">
        <f t="shared" ca="1" si="40"/>
        <v>X</v>
      </c>
      <c r="AF7" s="16" t="str">
        <f t="shared" ca="1" si="40"/>
        <v>X</v>
      </c>
      <c r="AG7" s="16" t="str">
        <f t="shared" ca="1" si="40"/>
        <v>X</v>
      </c>
      <c r="AH7" s="39" t="str">
        <f t="shared" ca="1" si="40"/>
        <v>X</v>
      </c>
      <c r="AI7" s="38" t="str">
        <f t="shared" ca="1" si="40"/>
        <v>X</v>
      </c>
      <c r="AJ7" s="16" t="str">
        <f t="shared" ca="1" si="40"/>
        <v>X</v>
      </c>
      <c r="AK7" s="46" t="str">
        <f t="shared" ca="1" si="41"/>
        <v>X</v>
      </c>
      <c r="AL7" s="52" t="str">
        <f t="shared" ca="1" si="41"/>
        <v/>
      </c>
      <c r="AM7" s="49" t="str">
        <f t="shared" ca="1" si="41"/>
        <v/>
      </c>
      <c r="AN7" s="34" t="str">
        <f t="shared" ca="1" si="41"/>
        <v/>
      </c>
      <c r="AO7" s="16" t="str">
        <f t="shared" ca="1" si="41"/>
        <v/>
      </c>
      <c r="AP7" s="16" t="str">
        <f t="shared" ca="1" si="41"/>
        <v/>
      </c>
      <c r="AQ7" s="39" t="str">
        <f t="shared" ca="1" si="41"/>
        <v/>
      </c>
      <c r="AR7" s="38" t="str">
        <f t="shared" ca="1" si="41"/>
        <v/>
      </c>
      <c r="AS7" s="16" t="str">
        <f t="shared" ca="1" si="41"/>
        <v/>
      </c>
      <c r="AT7" s="16" t="str">
        <f t="shared" ca="1" si="41"/>
        <v/>
      </c>
      <c r="AU7" s="39" t="str">
        <f t="shared" ca="1" si="42"/>
        <v/>
      </c>
      <c r="AV7" s="38" t="str">
        <f t="shared" ca="1" si="42"/>
        <v/>
      </c>
      <c r="AW7" s="16" t="str">
        <f t="shared" ca="1" si="42"/>
        <v/>
      </c>
      <c r="AX7" s="16" t="str">
        <f t="shared" ca="1" si="42"/>
        <v/>
      </c>
      <c r="AY7" s="16" t="str">
        <f t="shared" ca="1" si="42"/>
        <v/>
      </c>
      <c r="AZ7" s="39" t="str">
        <f t="shared" ca="1" si="42"/>
        <v/>
      </c>
      <c r="BA7" s="39" t="str">
        <f t="shared" ca="1" si="42"/>
        <v/>
      </c>
      <c r="BB7" s="39" t="str">
        <f t="shared" ca="1" si="42"/>
        <v/>
      </c>
      <c r="BC7" s="39" t="str">
        <f t="shared" ca="1" si="42"/>
        <v/>
      </c>
      <c r="BD7" s="39" t="str">
        <f t="shared" ca="1" si="42"/>
        <v/>
      </c>
      <c r="BE7" s="39" t="str">
        <f t="shared" ca="1" si="43"/>
        <v/>
      </c>
      <c r="BF7" s="39" t="str">
        <f t="shared" ca="1" si="43"/>
        <v/>
      </c>
      <c r="BG7" s="39" t="str">
        <f t="shared" ca="1" si="43"/>
        <v/>
      </c>
      <c r="BH7" s="39" t="str">
        <f t="shared" ca="1" si="43"/>
        <v/>
      </c>
      <c r="BI7" s="39" t="str">
        <f t="shared" ca="1" si="43"/>
        <v/>
      </c>
      <c r="BJ7" s="39" t="str">
        <f t="shared" ca="1" si="43"/>
        <v/>
      </c>
      <c r="BK7" s="39" t="str">
        <f t="shared" ca="1" si="43"/>
        <v/>
      </c>
      <c r="BL7" s="39" t="str">
        <f t="shared" ca="1" si="43"/>
        <v/>
      </c>
      <c r="BM7" s="39" t="str">
        <f t="shared" ca="1" si="43"/>
        <v/>
      </c>
      <c r="BN7" s="39" t="str">
        <f t="shared" ca="1" si="43"/>
        <v/>
      </c>
      <c r="BO7" s="39" t="str">
        <f t="shared" ca="1" si="44"/>
        <v/>
      </c>
      <c r="BP7" s="39" t="str">
        <f t="shared" ca="1" si="44"/>
        <v/>
      </c>
      <c r="BQ7" s="39" t="str">
        <f t="shared" ca="1" si="44"/>
        <v/>
      </c>
      <c r="BR7" s="39" t="str">
        <f t="shared" ca="1" si="44"/>
        <v/>
      </c>
      <c r="BS7" s="39" t="str">
        <f t="shared" ca="1" si="44"/>
        <v/>
      </c>
      <c r="BT7" s="39" t="str">
        <f t="shared" ca="1" si="44"/>
        <v/>
      </c>
      <c r="BU7" s="39" t="str">
        <f t="shared" ca="1" si="44"/>
        <v/>
      </c>
      <c r="BV7" s="39" t="str">
        <f t="shared" ca="1" si="44"/>
        <v/>
      </c>
      <c r="BW7" s="39" t="str">
        <f t="shared" ca="1" si="44"/>
        <v/>
      </c>
      <c r="BX7" s="39" t="str">
        <f t="shared" ca="1" si="44"/>
        <v/>
      </c>
      <c r="BY7" s="39" t="str">
        <f t="shared" ca="1" si="45"/>
        <v/>
      </c>
      <c r="BZ7" s="39" t="str">
        <f t="shared" ca="1" si="45"/>
        <v/>
      </c>
      <c r="CA7" s="39" t="str">
        <f t="shared" ca="1" si="45"/>
        <v/>
      </c>
      <c r="CB7" s="39" t="str">
        <f t="shared" ca="1" si="45"/>
        <v/>
      </c>
      <c r="CC7" s="39" t="str">
        <f t="shared" ca="1" si="45"/>
        <v/>
      </c>
      <c r="CD7" s="39" t="str">
        <f t="shared" ca="1" si="45"/>
        <v/>
      </c>
      <c r="CE7" s="39" t="str">
        <f t="shared" ca="1" si="45"/>
        <v/>
      </c>
      <c r="CF7" s="39" t="str">
        <f t="shared" ca="1" si="45"/>
        <v/>
      </c>
      <c r="CG7" s="39" t="str">
        <f t="shared" ca="1" si="45"/>
        <v/>
      </c>
      <c r="CH7" s="39" t="str">
        <f t="shared" ca="1" si="45"/>
        <v/>
      </c>
      <c r="CI7" s="39" t="str">
        <f t="shared" ca="1" si="45"/>
        <v/>
      </c>
      <c r="CJ7" s="39" t="str">
        <f t="shared" ca="1" si="45"/>
        <v/>
      </c>
      <c r="CK7" s="39" t="str">
        <f t="shared" ca="1" si="45"/>
        <v/>
      </c>
      <c r="CL7" t="str">
        <f ca="1"/>
        <v/>
      </c>
    </row>
    <row r="8" spans="1:90" ht="18.75" customHeight="1">
      <c r="A8" s="30" t="s">
        <v>117</v>
      </c>
      <c r="B8" s="18" t="s">
        <v>7</v>
      </c>
      <c r="C8" s="28"/>
      <c r="D8" s="10" t="s">
        <v>97</v>
      </c>
      <c r="E8" s="22"/>
      <c r="F8" s="20"/>
      <c r="G8" s="20"/>
      <c r="H8" s="20"/>
      <c r="I8" s="23"/>
      <c r="J8" s="18">
        <v>4</v>
      </c>
      <c r="K8" s="24"/>
      <c r="L8" s="28" t="s">
        <v>142</v>
      </c>
      <c r="Q8" s="6">
        <f ca="1"/>
        <v>4</v>
      </c>
      <c r="R8" s="11" vm="9">
        <f ca="1"/>
        <v>46357</v>
      </c>
      <c r="S8" s="11" vm="11">
        <f ca="1"/>
        <v>46385</v>
      </c>
      <c r="T8" s="17">
        <f ca="1"/>
        <v>6</v>
      </c>
      <c r="U8" s="17">
        <f ca="1"/>
        <v>10</v>
      </c>
      <c r="V8" s="17">
        <f ca="1"/>
        <v>7</v>
      </c>
      <c r="W8" s="17">
        <f ca="1"/>
        <v>11</v>
      </c>
      <c r="X8" s="17">
        <f ca="1"/>
        <v>1</v>
      </c>
      <c r="Y8" s="17">
        <f ca="1"/>
        <v>1</v>
      </c>
      <c r="Z8" s="33" t="b">
        <f ca="1"/>
        <v>0</v>
      </c>
      <c r="AA8" s="38" t="str">
        <f t="shared" ca="1" si="40"/>
        <v/>
      </c>
      <c r="AB8" s="16" t="str">
        <f t="shared" ca="1" si="40"/>
        <v/>
      </c>
      <c r="AC8" s="16" t="str">
        <f t="shared" ca="1" si="40"/>
        <v/>
      </c>
      <c r="AD8" s="39" t="str">
        <f t="shared" ca="1" si="40"/>
        <v/>
      </c>
      <c r="AE8" s="38" t="str">
        <f t="shared" ca="1" si="40"/>
        <v/>
      </c>
      <c r="AF8" s="16" t="str">
        <f t="shared" ca="1" si="40"/>
        <v/>
      </c>
      <c r="AG8" s="16" t="str">
        <f t="shared" ca="1" si="40"/>
        <v>O</v>
      </c>
      <c r="AH8" s="39" t="str">
        <f t="shared" ca="1" si="40"/>
        <v>O</v>
      </c>
      <c r="AI8" s="38" t="str">
        <f t="shared" ca="1" si="40"/>
        <v>O</v>
      </c>
      <c r="AJ8" s="16" t="str">
        <f t="shared" ca="1" si="40"/>
        <v>O</v>
      </c>
      <c r="AK8" s="46" t="str">
        <f t="shared" ca="1" si="41"/>
        <v/>
      </c>
      <c r="AL8" s="52" t="str">
        <f t="shared" ca="1" si="41"/>
        <v/>
      </c>
      <c r="AM8" s="49" t="str">
        <f t="shared" ca="1" si="41"/>
        <v/>
      </c>
      <c r="AN8" s="34" t="str">
        <f t="shared" ca="1" si="41"/>
        <v/>
      </c>
      <c r="AO8" s="16" t="str">
        <f t="shared" ca="1" si="41"/>
        <v/>
      </c>
      <c r="AP8" s="16" t="str">
        <f t="shared" ca="1" si="41"/>
        <v/>
      </c>
      <c r="AQ8" s="39" t="str">
        <f t="shared" ca="1" si="41"/>
        <v/>
      </c>
      <c r="AR8" s="38" t="str">
        <f t="shared" ca="1" si="41"/>
        <v/>
      </c>
      <c r="AS8" s="16" t="str">
        <f t="shared" ca="1" si="41"/>
        <v/>
      </c>
      <c r="AT8" s="16" t="str">
        <f t="shared" ca="1" si="41"/>
        <v/>
      </c>
      <c r="AU8" s="39" t="str">
        <f t="shared" ca="1" si="42"/>
        <v/>
      </c>
      <c r="AV8" s="38" t="str">
        <f t="shared" ca="1" si="42"/>
        <v/>
      </c>
      <c r="AW8" s="16" t="str">
        <f t="shared" ca="1" si="42"/>
        <v/>
      </c>
      <c r="AX8" s="16" t="str">
        <f t="shared" ca="1" si="42"/>
        <v/>
      </c>
      <c r="AY8" s="16" t="str">
        <f t="shared" ca="1" si="42"/>
        <v/>
      </c>
      <c r="AZ8" s="39" t="str">
        <f t="shared" ca="1" si="42"/>
        <v/>
      </c>
      <c r="BA8" s="39" t="str">
        <f t="shared" ca="1" si="42"/>
        <v/>
      </c>
      <c r="BB8" s="39" t="str">
        <f t="shared" ca="1" si="42"/>
        <v/>
      </c>
      <c r="BC8" s="39" t="str">
        <f t="shared" ca="1" si="42"/>
        <v/>
      </c>
      <c r="BD8" s="39" t="str">
        <f t="shared" ca="1" si="42"/>
        <v/>
      </c>
      <c r="BE8" s="39" t="str">
        <f t="shared" ca="1" si="43"/>
        <v/>
      </c>
      <c r="BF8" s="39" t="str">
        <f t="shared" ca="1" si="43"/>
        <v/>
      </c>
      <c r="BG8" s="39" t="str">
        <f t="shared" ca="1" si="43"/>
        <v/>
      </c>
      <c r="BH8" s="39" t="str">
        <f t="shared" ca="1" si="43"/>
        <v/>
      </c>
      <c r="BI8" s="39" t="str">
        <f t="shared" ca="1" si="43"/>
        <v/>
      </c>
      <c r="BJ8" s="39" t="str">
        <f t="shared" ca="1" si="43"/>
        <v/>
      </c>
      <c r="BK8" s="39" t="str">
        <f t="shared" ca="1" si="43"/>
        <v/>
      </c>
      <c r="BL8" s="39" t="str">
        <f t="shared" ca="1" si="43"/>
        <v/>
      </c>
      <c r="BM8" s="39" t="str">
        <f t="shared" ca="1" si="43"/>
        <v/>
      </c>
      <c r="BN8" s="39" t="str">
        <f t="shared" ca="1" si="43"/>
        <v/>
      </c>
      <c r="BO8" s="39" t="str">
        <f t="shared" ca="1" si="44"/>
        <v/>
      </c>
      <c r="BP8" s="39" t="str">
        <f t="shared" ca="1" si="44"/>
        <v/>
      </c>
      <c r="BQ8" s="39" t="str">
        <f t="shared" ca="1" si="44"/>
        <v/>
      </c>
      <c r="BR8" s="39" t="str">
        <f t="shared" ca="1" si="44"/>
        <v/>
      </c>
      <c r="BS8" s="39" t="str">
        <f t="shared" ca="1" si="44"/>
        <v/>
      </c>
      <c r="BT8" s="39" t="str">
        <f t="shared" ca="1" si="44"/>
        <v/>
      </c>
      <c r="BU8" s="39" t="str">
        <f t="shared" ca="1" si="44"/>
        <v/>
      </c>
      <c r="BV8" s="39" t="str">
        <f t="shared" ca="1" si="44"/>
        <v/>
      </c>
      <c r="BW8" s="39" t="str">
        <f t="shared" ca="1" si="44"/>
        <v/>
      </c>
      <c r="BX8" s="39" t="str">
        <f t="shared" ca="1" si="44"/>
        <v/>
      </c>
      <c r="BY8" s="39" t="str">
        <f t="shared" ca="1" si="45"/>
        <v/>
      </c>
      <c r="BZ8" s="39" t="str">
        <f t="shared" ca="1" si="45"/>
        <v/>
      </c>
      <c r="CA8" s="39" t="str">
        <f t="shared" ca="1" si="45"/>
        <v/>
      </c>
      <c r="CB8" s="39" t="str">
        <f t="shared" ca="1" si="45"/>
        <v/>
      </c>
      <c r="CC8" s="39" t="str">
        <f t="shared" ca="1" si="45"/>
        <v/>
      </c>
      <c r="CD8" s="39" t="str">
        <f t="shared" ca="1" si="45"/>
        <v/>
      </c>
      <c r="CE8" s="39" t="str">
        <f t="shared" ca="1" si="45"/>
        <v/>
      </c>
      <c r="CF8" s="39" t="str">
        <f t="shared" ca="1" si="45"/>
        <v/>
      </c>
      <c r="CG8" s="39" t="str">
        <f t="shared" ca="1" si="45"/>
        <v/>
      </c>
      <c r="CH8" s="39" t="str">
        <f t="shared" ca="1" si="45"/>
        <v/>
      </c>
      <c r="CI8" s="39" t="str">
        <f t="shared" ca="1" si="45"/>
        <v/>
      </c>
      <c r="CJ8" s="39" t="str">
        <f t="shared" ca="1" si="45"/>
        <v/>
      </c>
      <c r="CK8" s="39" t="str">
        <f t="shared" ca="1" si="45"/>
        <v/>
      </c>
      <c r="CL8" t="str">
        <f ca="1"/>
        <v/>
      </c>
    </row>
    <row r="9" spans="1:90" ht="18.75" customHeight="1">
      <c r="A9" s="30" t="s">
        <v>118</v>
      </c>
      <c r="B9" s="18" t="s">
        <v>7</v>
      </c>
      <c r="C9" s="19"/>
      <c r="D9" s="10" t="s">
        <v>98</v>
      </c>
      <c r="E9" s="22"/>
      <c r="F9" s="20"/>
      <c r="G9" s="20"/>
      <c r="H9" s="20"/>
      <c r="I9" s="23"/>
      <c r="J9" s="18">
        <v>5</v>
      </c>
      <c r="K9" s="24"/>
      <c r="L9" s="28" t="s">
        <v>143</v>
      </c>
      <c r="Q9" s="6">
        <f ca="1"/>
        <v>5</v>
      </c>
      <c r="R9" s="11" vm="10">
        <f ca="1"/>
        <v>46392</v>
      </c>
      <c r="S9" s="11" vm="12">
        <f ca="1"/>
        <v>46427</v>
      </c>
      <c r="T9" s="17">
        <f ca="1"/>
        <v>11</v>
      </c>
      <c r="U9" s="17">
        <f ca="1"/>
        <v>16</v>
      </c>
      <c r="V9" s="17">
        <f ca="1"/>
        <v>11</v>
      </c>
      <c r="W9" s="17">
        <f ca="1"/>
        <v>16</v>
      </c>
      <c r="X9" s="17">
        <f ca="1"/>
        <v>0</v>
      </c>
      <c r="Y9" s="17">
        <f ca="1"/>
        <v>0</v>
      </c>
      <c r="Z9" s="33" t="b">
        <f ca="1"/>
        <v>1</v>
      </c>
      <c r="AA9" s="38" t="str">
        <f t="shared" ca="1" si="40"/>
        <v/>
      </c>
      <c r="AB9" s="16" t="str">
        <f t="shared" ca="1" si="40"/>
        <v/>
      </c>
      <c r="AC9" s="16" t="str">
        <f t="shared" ca="1" si="40"/>
        <v/>
      </c>
      <c r="AD9" s="39" t="str">
        <f t="shared" ca="1" si="40"/>
        <v/>
      </c>
      <c r="AE9" s="38" t="str">
        <f t="shared" ca="1" si="40"/>
        <v/>
      </c>
      <c r="AF9" s="16" t="str">
        <f t="shared" ca="1" si="40"/>
        <v/>
      </c>
      <c r="AG9" s="16" t="str">
        <f t="shared" ca="1" si="40"/>
        <v/>
      </c>
      <c r="AH9" s="39" t="str">
        <f t="shared" ca="1" si="40"/>
        <v/>
      </c>
      <c r="AI9" s="38" t="str">
        <f t="shared" ca="1" si="40"/>
        <v/>
      </c>
      <c r="AJ9" s="16" t="str">
        <f t="shared" ca="1" si="40"/>
        <v/>
      </c>
      <c r="AK9" s="46" t="str">
        <f t="shared" ca="1" si="41"/>
        <v/>
      </c>
      <c r="AL9" s="52" t="str">
        <f t="shared" ca="1" si="41"/>
        <v>X</v>
      </c>
      <c r="AM9" s="49" t="str">
        <f t="shared" ca="1" si="41"/>
        <v>X</v>
      </c>
      <c r="AN9" s="34" t="str">
        <f t="shared" ca="1" si="41"/>
        <v>X</v>
      </c>
      <c r="AO9" s="16" t="str">
        <f t="shared" ca="1" si="41"/>
        <v>X</v>
      </c>
      <c r="AP9" s="16" t="str">
        <f t="shared" ca="1" si="41"/>
        <v>X</v>
      </c>
      <c r="AQ9" s="39" t="str">
        <f t="shared" ca="1" si="41"/>
        <v/>
      </c>
      <c r="AR9" s="38" t="str">
        <f t="shared" ca="1" si="41"/>
        <v/>
      </c>
      <c r="AS9" s="16" t="str">
        <f t="shared" ca="1" si="41"/>
        <v/>
      </c>
      <c r="AT9" s="16" t="str">
        <f t="shared" ca="1" si="41"/>
        <v/>
      </c>
      <c r="AU9" s="39" t="str">
        <f t="shared" ca="1" si="42"/>
        <v/>
      </c>
      <c r="AV9" s="38" t="str">
        <f t="shared" ca="1" si="42"/>
        <v/>
      </c>
      <c r="AW9" s="16" t="str">
        <f t="shared" ca="1" si="42"/>
        <v/>
      </c>
      <c r="AX9" s="16" t="str">
        <f t="shared" ca="1" si="42"/>
        <v/>
      </c>
      <c r="AY9" s="16" t="str">
        <f t="shared" ca="1" si="42"/>
        <v/>
      </c>
      <c r="AZ9" s="39" t="str">
        <f t="shared" ca="1" si="42"/>
        <v/>
      </c>
      <c r="BA9" s="39" t="str">
        <f t="shared" ca="1" si="42"/>
        <v/>
      </c>
      <c r="BB9" s="39" t="str">
        <f t="shared" ca="1" si="42"/>
        <v/>
      </c>
      <c r="BC9" s="39" t="str">
        <f t="shared" ca="1" si="42"/>
        <v/>
      </c>
      <c r="BD9" s="39" t="str">
        <f t="shared" ca="1" si="42"/>
        <v/>
      </c>
      <c r="BE9" s="39" t="str">
        <f t="shared" ca="1" si="43"/>
        <v/>
      </c>
      <c r="BF9" s="39" t="str">
        <f t="shared" ca="1" si="43"/>
        <v/>
      </c>
      <c r="BG9" s="39" t="str">
        <f t="shared" ca="1" si="43"/>
        <v/>
      </c>
      <c r="BH9" s="39" t="str">
        <f t="shared" ca="1" si="43"/>
        <v/>
      </c>
      <c r="BI9" s="39" t="str">
        <f t="shared" ca="1" si="43"/>
        <v/>
      </c>
      <c r="BJ9" s="39" t="str">
        <f t="shared" ca="1" si="43"/>
        <v/>
      </c>
      <c r="BK9" s="39" t="str">
        <f t="shared" ca="1" si="43"/>
        <v/>
      </c>
      <c r="BL9" s="39" t="str">
        <f t="shared" ca="1" si="43"/>
        <v/>
      </c>
      <c r="BM9" s="39" t="str">
        <f t="shared" ca="1" si="43"/>
        <v/>
      </c>
      <c r="BN9" s="39" t="str">
        <f t="shared" ca="1" si="43"/>
        <v/>
      </c>
      <c r="BO9" s="39" t="str">
        <f t="shared" ca="1" si="44"/>
        <v/>
      </c>
      <c r="BP9" s="39" t="str">
        <f t="shared" ca="1" si="44"/>
        <v/>
      </c>
      <c r="BQ9" s="39" t="str">
        <f t="shared" ca="1" si="44"/>
        <v/>
      </c>
      <c r="BR9" s="39" t="str">
        <f t="shared" ca="1" si="44"/>
        <v/>
      </c>
      <c r="BS9" s="39" t="str">
        <f t="shared" ca="1" si="44"/>
        <v/>
      </c>
      <c r="BT9" s="39" t="str">
        <f t="shared" ca="1" si="44"/>
        <v/>
      </c>
      <c r="BU9" s="39" t="str">
        <f t="shared" ca="1" si="44"/>
        <v/>
      </c>
      <c r="BV9" s="39" t="str">
        <f t="shared" ca="1" si="44"/>
        <v/>
      </c>
      <c r="BW9" s="39" t="str">
        <f t="shared" ca="1" si="44"/>
        <v/>
      </c>
      <c r="BX9" s="39" t="str">
        <f t="shared" ca="1" si="44"/>
        <v/>
      </c>
      <c r="BY9" s="39" t="str">
        <f t="shared" ca="1" si="45"/>
        <v/>
      </c>
      <c r="BZ9" s="39" t="str">
        <f t="shared" ca="1" si="45"/>
        <v/>
      </c>
      <c r="CA9" s="39" t="str">
        <f t="shared" ca="1" si="45"/>
        <v/>
      </c>
      <c r="CB9" s="39" t="str">
        <f t="shared" ca="1" si="45"/>
        <v/>
      </c>
      <c r="CC9" s="39" t="str">
        <f t="shared" ca="1" si="45"/>
        <v/>
      </c>
      <c r="CD9" s="39" t="str">
        <f t="shared" ca="1" si="45"/>
        <v/>
      </c>
      <c r="CE9" s="39" t="str">
        <f t="shared" ca="1" si="45"/>
        <v/>
      </c>
      <c r="CF9" s="39" t="str">
        <f t="shared" ca="1" si="45"/>
        <v/>
      </c>
      <c r="CG9" s="39" t="str">
        <f t="shared" ca="1" si="45"/>
        <v/>
      </c>
      <c r="CH9" s="39" t="str">
        <f t="shared" ca="1" si="45"/>
        <v/>
      </c>
      <c r="CI9" s="39" t="str">
        <f t="shared" ca="1" si="45"/>
        <v/>
      </c>
      <c r="CJ9" s="39" t="str">
        <f t="shared" ca="1" si="45"/>
        <v/>
      </c>
      <c r="CK9" s="39" t="str">
        <f t="shared" ca="1" si="45"/>
        <v/>
      </c>
      <c r="CL9" t="str">
        <f ca="1"/>
        <v/>
      </c>
    </row>
    <row r="10" spans="1:90" ht="18.75" customHeight="1">
      <c r="A10" s="30" t="s">
        <v>119</v>
      </c>
      <c r="B10" s="18" t="s">
        <v>7</v>
      </c>
      <c r="C10" s="19"/>
      <c r="D10" s="10" t="s">
        <v>99</v>
      </c>
      <c r="E10" s="22"/>
      <c r="F10" s="20"/>
      <c r="G10" s="20"/>
      <c r="H10" s="20"/>
      <c r="I10" s="23"/>
      <c r="J10" s="18">
        <v>9</v>
      </c>
      <c r="K10" s="24"/>
      <c r="L10" s="28" t="s">
        <v>144</v>
      </c>
      <c r="Q10" s="6">
        <f ca="1"/>
        <v>9</v>
      </c>
      <c r="R10" s="11" vm="12">
        <f ca="1"/>
        <v>46427</v>
      </c>
      <c r="S10" s="11" vm="13">
        <f ca="1"/>
        <v>46490</v>
      </c>
      <c r="T10" s="17">
        <f ca="1"/>
        <v>16</v>
      </c>
      <c r="U10" s="17">
        <f ca="1"/>
        <v>25</v>
      </c>
      <c r="V10" s="17">
        <f ca="1"/>
        <v>16</v>
      </c>
      <c r="W10" s="17">
        <f ca="1"/>
        <v>25</v>
      </c>
      <c r="X10" s="17">
        <f ca="1"/>
        <v>0</v>
      </c>
      <c r="Y10" s="17">
        <f ca="1"/>
        <v>0</v>
      </c>
      <c r="Z10" s="33" t="b">
        <f ca="1"/>
        <v>1</v>
      </c>
      <c r="AA10" s="38" t="str">
        <f t="shared" ca="1" si="40"/>
        <v/>
      </c>
      <c r="AB10" s="16" t="str">
        <f t="shared" ca="1" si="40"/>
        <v/>
      </c>
      <c r="AC10" s="16" t="str">
        <f t="shared" ca="1" si="40"/>
        <v/>
      </c>
      <c r="AD10" s="39" t="str">
        <f t="shared" ca="1" si="40"/>
        <v/>
      </c>
      <c r="AE10" s="38" t="str">
        <f t="shared" ca="1" si="40"/>
        <v/>
      </c>
      <c r="AF10" s="16" t="str">
        <f t="shared" ca="1" si="40"/>
        <v/>
      </c>
      <c r="AG10" s="16" t="str">
        <f t="shared" ca="1" si="40"/>
        <v/>
      </c>
      <c r="AH10" s="39" t="str">
        <f t="shared" ca="1" si="40"/>
        <v/>
      </c>
      <c r="AI10" s="38" t="str">
        <f t="shared" ca="1" si="40"/>
        <v/>
      </c>
      <c r="AJ10" s="16" t="str">
        <f t="shared" ca="1" si="40"/>
        <v/>
      </c>
      <c r="AK10" s="46" t="str">
        <f t="shared" ca="1" si="41"/>
        <v/>
      </c>
      <c r="AL10" s="52" t="str">
        <f t="shared" ca="1" si="41"/>
        <v/>
      </c>
      <c r="AM10" s="49" t="str">
        <f t="shared" ca="1" si="41"/>
        <v/>
      </c>
      <c r="AN10" s="34" t="str">
        <f t="shared" ca="1" si="41"/>
        <v/>
      </c>
      <c r="AO10" s="16" t="str">
        <f t="shared" ca="1" si="41"/>
        <v/>
      </c>
      <c r="AP10" s="16" t="str">
        <f t="shared" ca="1" si="41"/>
        <v/>
      </c>
      <c r="AQ10" s="39" t="str">
        <f t="shared" ca="1" si="41"/>
        <v>X</v>
      </c>
      <c r="AR10" s="38" t="str">
        <f t="shared" ca="1" si="41"/>
        <v>X</v>
      </c>
      <c r="AS10" s="16" t="str">
        <f t="shared" ca="1" si="41"/>
        <v>X</v>
      </c>
      <c r="AT10" s="16" t="str">
        <f t="shared" ca="1" si="41"/>
        <v>X</v>
      </c>
      <c r="AU10" s="39" t="str">
        <f t="shared" ca="1" si="42"/>
        <v>X</v>
      </c>
      <c r="AV10" s="38" t="str">
        <f t="shared" ca="1" si="42"/>
        <v>X</v>
      </c>
      <c r="AW10" s="16" t="str">
        <f t="shared" ca="1" si="42"/>
        <v>X</v>
      </c>
      <c r="AX10" s="16" t="str">
        <f t="shared" ca="1" si="42"/>
        <v>X</v>
      </c>
      <c r="AY10" s="16" t="str">
        <f t="shared" ca="1" si="42"/>
        <v>X</v>
      </c>
      <c r="AZ10" s="39" t="str">
        <f t="shared" ca="1" si="42"/>
        <v/>
      </c>
      <c r="BA10" s="39" t="str">
        <f t="shared" ca="1" si="42"/>
        <v/>
      </c>
      <c r="BB10" s="39" t="str">
        <f t="shared" ca="1" si="42"/>
        <v/>
      </c>
      <c r="BC10" s="39" t="str">
        <f t="shared" ca="1" si="42"/>
        <v/>
      </c>
      <c r="BD10" s="39" t="str">
        <f t="shared" ca="1" si="42"/>
        <v/>
      </c>
      <c r="BE10" s="39" t="str">
        <f t="shared" ca="1" si="43"/>
        <v/>
      </c>
      <c r="BF10" s="39" t="str">
        <f t="shared" ca="1" si="43"/>
        <v/>
      </c>
      <c r="BG10" s="39" t="str">
        <f t="shared" ca="1" si="43"/>
        <v/>
      </c>
      <c r="BH10" s="39" t="str">
        <f t="shared" ca="1" si="43"/>
        <v/>
      </c>
      <c r="BI10" s="39" t="str">
        <f t="shared" ca="1" si="43"/>
        <v/>
      </c>
      <c r="BJ10" s="39" t="str">
        <f t="shared" ca="1" si="43"/>
        <v/>
      </c>
      <c r="BK10" s="39" t="str">
        <f t="shared" ca="1" si="43"/>
        <v/>
      </c>
      <c r="BL10" s="39" t="str">
        <f t="shared" ca="1" si="43"/>
        <v/>
      </c>
      <c r="BM10" s="39" t="str">
        <f t="shared" ca="1" si="43"/>
        <v/>
      </c>
      <c r="BN10" s="39" t="str">
        <f t="shared" ca="1" si="43"/>
        <v/>
      </c>
      <c r="BO10" s="39" t="str">
        <f t="shared" ca="1" si="44"/>
        <v/>
      </c>
      <c r="BP10" s="39" t="str">
        <f t="shared" ca="1" si="44"/>
        <v/>
      </c>
      <c r="BQ10" s="39" t="str">
        <f t="shared" ca="1" si="44"/>
        <v/>
      </c>
      <c r="BR10" s="39" t="str">
        <f t="shared" ca="1" si="44"/>
        <v/>
      </c>
      <c r="BS10" s="39" t="str">
        <f t="shared" ca="1" si="44"/>
        <v/>
      </c>
      <c r="BT10" s="39" t="str">
        <f t="shared" ca="1" si="44"/>
        <v/>
      </c>
      <c r="BU10" s="39" t="str">
        <f t="shared" ca="1" si="44"/>
        <v/>
      </c>
      <c r="BV10" s="39" t="str">
        <f t="shared" ca="1" si="44"/>
        <v/>
      </c>
      <c r="BW10" s="39" t="str">
        <f t="shared" ca="1" si="44"/>
        <v/>
      </c>
      <c r="BX10" s="39" t="str">
        <f t="shared" ca="1" si="44"/>
        <v/>
      </c>
      <c r="BY10" s="39" t="str">
        <f t="shared" ca="1" si="45"/>
        <v/>
      </c>
      <c r="BZ10" s="39" t="str">
        <f t="shared" ca="1" si="45"/>
        <v/>
      </c>
      <c r="CA10" s="39" t="str">
        <f t="shared" ca="1" si="45"/>
        <v/>
      </c>
      <c r="CB10" s="39" t="str">
        <f t="shared" ca="1" si="45"/>
        <v/>
      </c>
      <c r="CC10" s="39" t="str">
        <f t="shared" ca="1" si="45"/>
        <v/>
      </c>
      <c r="CD10" s="39" t="str">
        <f t="shared" ca="1" si="45"/>
        <v/>
      </c>
      <c r="CE10" s="39" t="str">
        <f t="shared" ca="1" si="45"/>
        <v/>
      </c>
      <c r="CF10" s="39" t="str">
        <f t="shared" ca="1" si="45"/>
        <v/>
      </c>
      <c r="CG10" s="39" t="str">
        <f t="shared" ca="1" si="45"/>
        <v/>
      </c>
      <c r="CH10" s="39" t="str">
        <f t="shared" ca="1" si="45"/>
        <v/>
      </c>
      <c r="CI10" s="39" t="str">
        <f t="shared" ca="1" si="45"/>
        <v/>
      </c>
      <c r="CJ10" s="39" t="str">
        <f t="shared" ca="1" si="45"/>
        <v/>
      </c>
      <c r="CK10" s="39" t="str">
        <f t="shared" ca="1" si="45"/>
        <v/>
      </c>
      <c r="CL10" t="str">
        <f ca="1"/>
        <v/>
      </c>
    </row>
    <row r="11" spans="1:90" ht="18.75" customHeight="1">
      <c r="A11" s="30" t="s">
        <v>120</v>
      </c>
      <c r="B11" s="18" t="s">
        <v>7</v>
      </c>
      <c r="C11" s="28"/>
      <c r="D11" s="10" t="s">
        <v>100</v>
      </c>
      <c r="E11" s="22"/>
      <c r="F11" s="20"/>
      <c r="G11" s="20"/>
      <c r="H11" s="20"/>
      <c r="I11" s="23"/>
      <c r="J11" s="18">
        <v>6</v>
      </c>
      <c r="K11" s="24"/>
      <c r="L11" s="28" t="s">
        <v>159</v>
      </c>
      <c r="M11" s="25"/>
      <c r="Q11" s="6">
        <f ca="1"/>
        <v>6</v>
      </c>
      <c r="R11" s="11" vm="14">
        <f ca="1"/>
        <v>46441</v>
      </c>
      <c r="S11" s="11" vm="15">
        <f ca="1"/>
        <v>46483</v>
      </c>
      <c r="T11" s="17">
        <f ca="1"/>
        <v>18</v>
      </c>
      <c r="U11" s="17">
        <f ca="1"/>
        <v>24</v>
      </c>
      <c r="V11" s="17">
        <f ca="1"/>
        <v>19</v>
      </c>
      <c r="W11" s="17">
        <f ca="1"/>
        <v>25</v>
      </c>
      <c r="X11" s="17">
        <f ca="1"/>
        <v>1</v>
      </c>
      <c r="Y11" s="17">
        <f ca="1"/>
        <v>1</v>
      </c>
      <c r="Z11" s="33" t="b">
        <f ca="1"/>
        <v>0</v>
      </c>
      <c r="AA11" s="38" t="str">
        <f t="shared" ca="1" si="40"/>
        <v/>
      </c>
      <c r="AB11" s="16" t="str">
        <f t="shared" ca="1" si="40"/>
        <v/>
      </c>
      <c r="AC11" s="16" t="str">
        <f t="shared" ca="1" si="40"/>
        <v/>
      </c>
      <c r="AD11" s="39" t="str">
        <f t="shared" ca="1" si="40"/>
        <v/>
      </c>
      <c r="AE11" s="38" t="str">
        <f t="shared" ca="1" si="40"/>
        <v/>
      </c>
      <c r="AF11" s="16" t="str">
        <f t="shared" ca="1" si="40"/>
        <v/>
      </c>
      <c r="AG11" s="16" t="str">
        <f t="shared" ca="1" si="40"/>
        <v/>
      </c>
      <c r="AH11" s="39" t="str">
        <f t="shared" ca="1" si="40"/>
        <v/>
      </c>
      <c r="AI11" s="38" t="str">
        <f t="shared" ca="1" si="40"/>
        <v/>
      </c>
      <c r="AJ11" s="16" t="str">
        <f t="shared" ca="1" si="40"/>
        <v/>
      </c>
      <c r="AK11" s="46" t="str">
        <f t="shared" ca="1" si="41"/>
        <v/>
      </c>
      <c r="AL11" s="52" t="str">
        <f t="shared" ca="1" si="41"/>
        <v/>
      </c>
      <c r="AM11" s="49" t="str">
        <f t="shared" ca="1" si="41"/>
        <v/>
      </c>
      <c r="AN11" s="34" t="str">
        <f t="shared" ca="1" si="41"/>
        <v/>
      </c>
      <c r="AO11" s="16" t="str">
        <f t="shared" ca="1" si="41"/>
        <v/>
      </c>
      <c r="AP11" s="16" t="str">
        <f t="shared" ca="1" si="41"/>
        <v/>
      </c>
      <c r="AQ11" s="39" t="str">
        <f t="shared" ca="1" si="41"/>
        <v/>
      </c>
      <c r="AR11" s="38" t="str">
        <f t="shared" ca="1" si="41"/>
        <v/>
      </c>
      <c r="AS11" s="16" t="str">
        <f t="shared" ca="1" si="41"/>
        <v>O</v>
      </c>
      <c r="AT11" s="16" t="str">
        <f t="shared" ca="1" si="41"/>
        <v>O</v>
      </c>
      <c r="AU11" s="39" t="str">
        <f t="shared" ca="1" si="42"/>
        <v>O</v>
      </c>
      <c r="AV11" s="38" t="str">
        <f t="shared" ca="1" si="42"/>
        <v>O</v>
      </c>
      <c r="AW11" s="16" t="str">
        <f t="shared" ca="1" si="42"/>
        <v>O</v>
      </c>
      <c r="AX11" s="16" t="str">
        <f t="shared" ca="1" si="42"/>
        <v>O</v>
      </c>
      <c r="AY11" s="16" t="str">
        <f t="shared" ca="1" si="42"/>
        <v/>
      </c>
      <c r="AZ11" s="39" t="str">
        <f t="shared" ca="1" si="42"/>
        <v/>
      </c>
      <c r="BA11" s="39" t="str">
        <f t="shared" ca="1" si="42"/>
        <v/>
      </c>
      <c r="BB11" s="39" t="str">
        <f t="shared" ca="1" si="42"/>
        <v/>
      </c>
      <c r="BC11" s="39" t="str">
        <f t="shared" ca="1" si="42"/>
        <v/>
      </c>
      <c r="BD11" s="39" t="str">
        <f t="shared" ca="1" si="42"/>
        <v/>
      </c>
      <c r="BE11" s="39" t="str">
        <f t="shared" ca="1" si="43"/>
        <v/>
      </c>
      <c r="BF11" s="39" t="str">
        <f t="shared" ca="1" si="43"/>
        <v/>
      </c>
      <c r="BG11" s="39" t="str">
        <f t="shared" ca="1" si="43"/>
        <v/>
      </c>
      <c r="BH11" s="39" t="str">
        <f t="shared" ca="1" si="43"/>
        <v/>
      </c>
      <c r="BI11" s="39" t="str">
        <f t="shared" ca="1" si="43"/>
        <v/>
      </c>
      <c r="BJ11" s="39" t="str">
        <f t="shared" ca="1" si="43"/>
        <v/>
      </c>
      <c r="BK11" s="39" t="str">
        <f t="shared" ca="1" si="43"/>
        <v/>
      </c>
      <c r="BL11" s="39" t="str">
        <f t="shared" ca="1" si="43"/>
        <v/>
      </c>
      <c r="BM11" s="39" t="str">
        <f t="shared" ca="1" si="43"/>
        <v/>
      </c>
      <c r="BN11" s="39" t="str">
        <f t="shared" ca="1" si="43"/>
        <v/>
      </c>
      <c r="BO11" s="39" t="str">
        <f t="shared" ca="1" si="44"/>
        <v/>
      </c>
      <c r="BP11" s="39" t="str">
        <f t="shared" ca="1" si="44"/>
        <v/>
      </c>
      <c r="BQ11" s="39" t="str">
        <f t="shared" ca="1" si="44"/>
        <v/>
      </c>
      <c r="BR11" s="39" t="str">
        <f t="shared" ca="1" si="44"/>
        <v/>
      </c>
      <c r="BS11" s="39" t="str">
        <f t="shared" ca="1" si="44"/>
        <v/>
      </c>
      <c r="BT11" s="39" t="str">
        <f t="shared" ca="1" si="44"/>
        <v/>
      </c>
      <c r="BU11" s="39" t="str">
        <f t="shared" ca="1" si="44"/>
        <v/>
      </c>
      <c r="BV11" s="39" t="str">
        <f t="shared" ca="1" si="44"/>
        <v/>
      </c>
      <c r="BW11" s="39" t="str">
        <f t="shared" ca="1" si="44"/>
        <v/>
      </c>
      <c r="BX11" s="39" t="str">
        <f t="shared" ca="1" si="44"/>
        <v/>
      </c>
      <c r="BY11" s="39" t="str">
        <f t="shared" ca="1" si="45"/>
        <v/>
      </c>
      <c r="BZ11" s="39" t="str">
        <f t="shared" ca="1" si="45"/>
        <v/>
      </c>
      <c r="CA11" s="39" t="str">
        <f t="shared" ca="1" si="45"/>
        <v/>
      </c>
      <c r="CB11" s="39" t="str">
        <f t="shared" ca="1" si="45"/>
        <v/>
      </c>
      <c r="CC11" s="39" t="str">
        <f t="shared" ca="1" si="45"/>
        <v/>
      </c>
      <c r="CD11" s="39" t="str">
        <f t="shared" ca="1" si="45"/>
        <v/>
      </c>
      <c r="CE11" s="39" t="str">
        <f t="shared" ca="1" si="45"/>
        <v/>
      </c>
      <c r="CF11" s="39" t="str">
        <f t="shared" ca="1" si="45"/>
        <v/>
      </c>
      <c r="CG11" s="39" t="str">
        <f t="shared" ca="1" si="45"/>
        <v/>
      </c>
      <c r="CH11" s="39" t="str">
        <f t="shared" ca="1" si="45"/>
        <v/>
      </c>
      <c r="CI11" s="39" t="str">
        <f t="shared" ca="1" si="45"/>
        <v/>
      </c>
      <c r="CJ11" s="39" t="str">
        <f t="shared" ca="1" si="45"/>
        <v/>
      </c>
      <c r="CK11" s="39" t="str">
        <f t="shared" ca="1" si="45"/>
        <v/>
      </c>
      <c r="CL11" t="str">
        <f ca="1"/>
        <v/>
      </c>
    </row>
    <row r="12" spans="1:90" ht="18.75" customHeight="1">
      <c r="A12" s="30" t="s">
        <v>121</v>
      </c>
      <c r="B12" s="18" t="s">
        <v>7</v>
      </c>
      <c r="C12" s="28"/>
      <c r="D12" s="10" t="s">
        <v>101</v>
      </c>
      <c r="E12" s="22"/>
      <c r="F12" s="20"/>
      <c r="G12" s="20"/>
      <c r="H12" s="20"/>
      <c r="I12" s="23"/>
      <c r="J12" s="18">
        <v>6</v>
      </c>
      <c r="K12" s="24"/>
      <c r="L12" s="28" t="s">
        <v>145</v>
      </c>
      <c r="M12" s="25"/>
      <c r="Q12" s="6">
        <f ca="1"/>
        <v>6</v>
      </c>
      <c r="R12" s="11" vm="13">
        <f ca="1"/>
        <v>46490</v>
      </c>
      <c r="S12" s="11" vm="16">
        <f ca="1"/>
        <v>46532</v>
      </c>
      <c r="T12" s="17">
        <f ca="1"/>
        <v>25</v>
      </c>
      <c r="U12" s="17">
        <f ca="1"/>
        <v>31</v>
      </c>
      <c r="V12" s="17">
        <f ca="1"/>
        <v>25</v>
      </c>
      <c r="W12" s="17">
        <f ca="1"/>
        <v>31</v>
      </c>
      <c r="X12" s="17">
        <f ca="1"/>
        <v>0</v>
      </c>
      <c r="Y12" s="17">
        <f ca="1"/>
        <v>0</v>
      </c>
      <c r="Z12" s="33" t="b">
        <f ca="1"/>
        <v>1</v>
      </c>
      <c r="AA12" s="38" t="str">
        <f t="shared" ca="1" si="40"/>
        <v/>
      </c>
      <c r="AB12" s="16" t="str">
        <f t="shared" ca="1" si="40"/>
        <v/>
      </c>
      <c r="AC12" s="16" t="str">
        <f t="shared" ca="1" si="40"/>
        <v/>
      </c>
      <c r="AD12" s="39" t="str">
        <f t="shared" ca="1" si="40"/>
        <v/>
      </c>
      <c r="AE12" s="38" t="str">
        <f t="shared" ca="1" si="40"/>
        <v/>
      </c>
      <c r="AF12" s="16" t="str">
        <f t="shared" ca="1" si="40"/>
        <v/>
      </c>
      <c r="AG12" s="16" t="str">
        <f t="shared" ca="1" si="40"/>
        <v/>
      </c>
      <c r="AH12" s="39" t="str">
        <f t="shared" ca="1" si="40"/>
        <v/>
      </c>
      <c r="AI12" s="38" t="str">
        <f t="shared" ca="1" si="40"/>
        <v/>
      </c>
      <c r="AJ12" s="16" t="str">
        <f t="shared" ca="1" si="40"/>
        <v/>
      </c>
      <c r="AK12" s="46" t="str">
        <f t="shared" ca="1" si="41"/>
        <v/>
      </c>
      <c r="AL12" s="52" t="str">
        <f t="shared" ca="1" si="41"/>
        <v/>
      </c>
      <c r="AM12" s="49" t="str">
        <f t="shared" ca="1" si="41"/>
        <v/>
      </c>
      <c r="AN12" s="34" t="str">
        <f t="shared" ca="1" si="41"/>
        <v/>
      </c>
      <c r="AO12" s="16" t="str">
        <f t="shared" ca="1" si="41"/>
        <v/>
      </c>
      <c r="AP12" s="16" t="str">
        <f t="shared" ca="1" si="41"/>
        <v/>
      </c>
      <c r="AQ12" s="39" t="str">
        <f t="shared" ca="1" si="41"/>
        <v/>
      </c>
      <c r="AR12" s="38" t="str">
        <f t="shared" ca="1" si="41"/>
        <v/>
      </c>
      <c r="AS12" s="16" t="str">
        <f t="shared" ca="1" si="41"/>
        <v/>
      </c>
      <c r="AT12" s="16" t="str">
        <f t="shared" ca="1" si="41"/>
        <v/>
      </c>
      <c r="AU12" s="39" t="str">
        <f t="shared" ca="1" si="42"/>
        <v/>
      </c>
      <c r="AV12" s="38" t="str">
        <f t="shared" ca="1" si="42"/>
        <v/>
      </c>
      <c r="AW12" s="16" t="str">
        <f t="shared" ca="1" si="42"/>
        <v/>
      </c>
      <c r="AX12" s="16" t="str">
        <f t="shared" ca="1" si="42"/>
        <v/>
      </c>
      <c r="AY12" s="16" t="str">
        <f t="shared" ca="1" si="42"/>
        <v/>
      </c>
      <c r="AZ12" s="39" t="str">
        <f t="shared" ca="1" si="42"/>
        <v>X</v>
      </c>
      <c r="BA12" s="39" t="str">
        <f t="shared" ca="1" si="42"/>
        <v>X</v>
      </c>
      <c r="BB12" s="39" t="str">
        <f t="shared" ca="1" si="42"/>
        <v>X</v>
      </c>
      <c r="BC12" s="39" t="str">
        <f t="shared" ca="1" si="42"/>
        <v>X</v>
      </c>
      <c r="BD12" s="39" t="str">
        <f t="shared" ca="1" si="42"/>
        <v>X</v>
      </c>
      <c r="BE12" s="39" t="str">
        <f t="shared" ca="1" si="43"/>
        <v>X</v>
      </c>
      <c r="BF12" s="39" t="str">
        <f t="shared" ca="1" si="43"/>
        <v/>
      </c>
      <c r="BG12" s="39" t="str">
        <f t="shared" ca="1" si="43"/>
        <v/>
      </c>
      <c r="BH12" s="39" t="str">
        <f t="shared" ca="1" si="43"/>
        <v/>
      </c>
      <c r="BI12" s="39" t="str">
        <f t="shared" ca="1" si="43"/>
        <v/>
      </c>
      <c r="BJ12" s="39" t="str">
        <f t="shared" ca="1" si="43"/>
        <v/>
      </c>
      <c r="BK12" s="39" t="str">
        <f t="shared" ca="1" si="43"/>
        <v/>
      </c>
      <c r="BL12" s="39" t="str">
        <f t="shared" ca="1" si="43"/>
        <v/>
      </c>
      <c r="BM12" s="39" t="str">
        <f t="shared" ca="1" si="43"/>
        <v/>
      </c>
      <c r="BN12" s="39" t="str">
        <f t="shared" ca="1" si="43"/>
        <v/>
      </c>
      <c r="BO12" s="39" t="str">
        <f t="shared" ca="1" si="44"/>
        <v/>
      </c>
      <c r="BP12" s="39" t="str">
        <f t="shared" ca="1" si="44"/>
        <v/>
      </c>
      <c r="BQ12" s="39" t="str">
        <f t="shared" ca="1" si="44"/>
        <v/>
      </c>
      <c r="BR12" s="39" t="str">
        <f t="shared" ca="1" si="44"/>
        <v/>
      </c>
      <c r="BS12" s="39" t="str">
        <f t="shared" ca="1" si="44"/>
        <v/>
      </c>
      <c r="BT12" s="39" t="str">
        <f t="shared" ca="1" si="44"/>
        <v/>
      </c>
      <c r="BU12" s="39" t="str">
        <f t="shared" ca="1" si="44"/>
        <v/>
      </c>
      <c r="BV12" s="39" t="str">
        <f t="shared" ca="1" si="44"/>
        <v/>
      </c>
      <c r="BW12" s="39" t="str">
        <f t="shared" ca="1" si="44"/>
        <v/>
      </c>
      <c r="BX12" s="39" t="str">
        <f t="shared" ca="1" si="44"/>
        <v/>
      </c>
      <c r="BY12" s="39" t="str">
        <f t="shared" ca="1" si="45"/>
        <v/>
      </c>
      <c r="BZ12" s="39" t="str">
        <f t="shared" ca="1" si="45"/>
        <v/>
      </c>
      <c r="CA12" s="39" t="str">
        <f t="shared" ca="1" si="45"/>
        <v/>
      </c>
      <c r="CB12" s="39" t="str">
        <f t="shared" ca="1" si="45"/>
        <v/>
      </c>
      <c r="CC12" s="39" t="str">
        <f t="shared" ca="1" si="45"/>
        <v/>
      </c>
      <c r="CD12" s="39" t="str">
        <f t="shared" ca="1" si="45"/>
        <v/>
      </c>
      <c r="CE12" s="39" t="str">
        <f t="shared" ca="1" si="45"/>
        <v/>
      </c>
      <c r="CF12" s="39" t="str">
        <f t="shared" ca="1" si="45"/>
        <v/>
      </c>
      <c r="CG12" s="39" t="str">
        <f t="shared" ca="1" si="45"/>
        <v/>
      </c>
      <c r="CH12" s="39" t="str">
        <f t="shared" ca="1" si="45"/>
        <v/>
      </c>
      <c r="CI12" s="39" t="str">
        <f t="shared" ca="1" si="45"/>
        <v/>
      </c>
      <c r="CJ12" s="39" t="str">
        <f t="shared" ca="1" si="45"/>
        <v/>
      </c>
      <c r="CK12" s="39" t="str">
        <f t="shared" ca="1" si="45"/>
        <v/>
      </c>
      <c r="CL12" t="str">
        <f ca="1"/>
        <v/>
      </c>
    </row>
    <row r="13" spans="1:90" ht="18.75" customHeight="1">
      <c r="A13" s="30" t="s">
        <v>122</v>
      </c>
      <c r="B13" s="18" t="s">
        <v>7</v>
      </c>
      <c r="C13" s="28"/>
      <c r="D13" s="10" t="s">
        <v>102</v>
      </c>
      <c r="E13" s="22"/>
      <c r="F13" s="20"/>
      <c r="G13" s="20"/>
      <c r="H13" s="20"/>
      <c r="I13" s="23"/>
      <c r="J13" s="18">
        <v>4</v>
      </c>
      <c r="K13" s="24"/>
      <c r="L13" s="28" t="s">
        <v>158</v>
      </c>
      <c r="M13" s="25"/>
      <c r="Q13" s="6">
        <f ca="1"/>
        <v>4</v>
      </c>
      <c r="R13" s="11" vm="17">
        <f ca="1"/>
        <v>46504</v>
      </c>
      <c r="S13" s="11" vm="16">
        <f ca="1"/>
        <v>46532</v>
      </c>
      <c r="T13" s="17">
        <f ca="1"/>
        <v>27</v>
      </c>
      <c r="U13" s="17">
        <f ca="1"/>
        <v>31</v>
      </c>
      <c r="V13" s="17">
        <f ca="1"/>
        <v>34</v>
      </c>
      <c r="W13" s="17">
        <f ca="1"/>
        <v>38</v>
      </c>
      <c r="X13" s="17">
        <f ca="1"/>
        <v>7</v>
      </c>
      <c r="Y13" s="17">
        <f ca="1"/>
        <v>7</v>
      </c>
      <c r="Z13" s="33" t="b">
        <f ca="1"/>
        <v>0</v>
      </c>
      <c r="AA13" s="38" t="str">
        <f t="shared" ref="AA13:AJ22" ca="1" si="46">IF($A13="","",IF($B13="Milestone",IF(AND(AA$1&lt;=$R13,AA$1+7&gt;$R13),"◆",""),IF(AND(AA$1&lt;$S13,AA$1+7&gt;$R13),IF($B13="Summary","=",IF($B13="Activity",IF($Z13=TRUE,"X","O"),"")),"")))</f>
        <v/>
      </c>
      <c r="AB13" s="16" t="str">
        <f t="shared" ca="1" si="46"/>
        <v/>
      </c>
      <c r="AC13" s="16" t="str">
        <f t="shared" ca="1" si="46"/>
        <v/>
      </c>
      <c r="AD13" s="39" t="str">
        <f t="shared" ca="1" si="46"/>
        <v/>
      </c>
      <c r="AE13" s="38" t="str">
        <f t="shared" ca="1" si="46"/>
        <v/>
      </c>
      <c r="AF13" s="16" t="str">
        <f t="shared" ca="1" si="46"/>
        <v/>
      </c>
      <c r="AG13" s="16" t="str">
        <f t="shared" ca="1" si="46"/>
        <v/>
      </c>
      <c r="AH13" s="39" t="str">
        <f t="shared" ca="1" si="46"/>
        <v/>
      </c>
      <c r="AI13" s="38" t="str">
        <f t="shared" ca="1" si="46"/>
        <v/>
      </c>
      <c r="AJ13" s="16" t="str">
        <f t="shared" ca="1" si="46"/>
        <v/>
      </c>
      <c r="AK13" s="46" t="str">
        <f t="shared" ref="AK13:AT22" ca="1" si="47">IF($A13="","",IF($B13="Milestone",IF(AND(AK$1&lt;=$R13,AK$1+7&gt;$R13),"◆",""),IF(AND(AK$1&lt;$S13,AK$1+7&gt;$R13),IF($B13="Summary","=",IF($B13="Activity",IF($Z13=TRUE,"X","O"),"")),"")))</f>
        <v/>
      </c>
      <c r="AL13" s="52" t="str">
        <f t="shared" ca="1" si="47"/>
        <v/>
      </c>
      <c r="AM13" s="49" t="str">
        <f t="shared" ca="1" si="47"/>
        <v/>
      </c>
      <c r="AN13" s="34" t="str">
        <f t="shared" ca="1" si="47"/>
        <v/>
      </c>
      <c r="AO13" s="16" t="str">
        <f t="shared" ca="1" si="47"/>
        <v/>
      </c>
      <c r="AP13" s="16" t="str">
        <f t="shared" ca="1" si="47"/>
        <v/>
      </c>
      <c r="AQ13" s="39" t="str">
        <f t="shared" ca="1" si="47"/>
        <v/>
      </c>
      <c r="AR13" s="38" t="str">
        <f t="shared" ca="1" si="47"/>
        <v/>
      </c>
      <c r="AS13" s="16" t="str">
        <f t="shared" ca="1" si="47"/>
        <v/>
      </c>
      <c r="AT13" s="16" t="str">
        <f t="shared" ca="1" si="47"/>
        <v/>
      </c>
      <c r="AU13" s="39" t="str">
        <f t="shared" ref="AU13:BD22" ca="1" si="48">IF($A13="","",IF($B13="Milestone",IF(AND(AU$1&lt;=$R13,AU$1+7&gt;$R13),"◆",""),IF(AND(AU$1&lt;$S13,AU$1+7&gt;$R13),IF($B13="Summary","=",IF($B13="Activity",IF($Z13=TRUE,"X","O"),"")),"")))</f>
        <v/>
      </c>
      <c r="AV13" s="38" t="str">
        <f t="shared" ca="1" si="48"/>
        <v/>
      </c>
      <c r="AW13" s="16" t="str">
        <f t="shared" ca="1" si="48"/>
        <v/>
      </c>
      <c r="AX13" s="16" t="str">
        <f t="shared" ca="1" si="48"/>
        <v/>
      </c>
      <c r="AY13" s="16" t="str">
        <f t="shared" ca="1" si="48"/>
        <v/>
      </c>
      <c r="AZ13" s="39" t="str">
        <f t="shared" ca="1" si="48"/>
        <v/>
      </c>
      <c r="BA13" s="39" t="str">
        <f t="shared" ca="1" si="48"/>
        <v/>
      </c>
      <c r="BB13" s="39" t="str">
        <f t="shared" ca="1" si="48"/>
        <v>O</v>
      </c>
      <c r="BC13" s="39" t="str">
        <f t="shared" ca="1" si="48"/>
        <v>O</v>
      </c>
      <c r="BD13" s="39" t="str">
        <f t="shared" ca="1" si="48"/>
        <v>O</v>
      </c>
      <c r="BE13" s="39" t="str">
        <f t="shared" ref="BE13:BN22" ca="1" si="49">IF($A13="","",IF($B13="Milestone",IF(AND(BE$1&lt;=$R13,BE$1+7&gt;$R13),"◆",""),IF(AND(BE$1&lt;$S13,BE$1+7&gt;$R13),IF($B13="Summary","=",IF($B13="Activity",IF($Z13=TRUE,"X","O"),"")),"")))</f>
        <v>O</v>
      </c>
      <c r="BF13" s="39" t="str">
        <f t="shared" ca="1" si="49"/>
        <v/>
      </c>
      <c r="BG13" s="39" t="str">
        <f t="shared" ca="1" si="49"/>
        <v/>
      </c>
      <c r="BH13" s="39" t="str">
        <f t="shared" ca="1" si="49"/>
        <v/>
      </c>
      <c r="BI13" s="39" t="str">
        <f t="shared" ca="1" si="49"/>
        <v/>
      </c>
      <c r="BJ13" s="39" t="str">
        <f t="shared" ca="1" si="49"/>
        <v/>
      </c>
      <c r="BK13" s="39" t="str">
        <f t="shared" ca="1" si="49"/>
        <v/>
      </c>
      <c r="BL13" s="39" t="str">
        <f t="shared" ca="1" si="49"/>
        <v/>
      </c>
      <c r="BM13" s="39" t="str">
        <f t="shared" ca="1" si="49"/>
        <v/>
      </c>
      <c r="BN13" s="39" t="str">
        <f t="shared" ca="1" si="49"/>
        <v/>
      </c>
      <c r="BO13" s="39" t="str">
        <f t="shared" ref="BO13:BX22" ca="1" si="50">IF($A13="","",IF($B13="Milestone",IF(AND(BO$1&lt;=$R13,BO$1+7&gt;$R13),"◆",""),IF(AND(BO$1&lt;$S13,BO$1+7&gt;$R13),IF($B13="Summary","=",IF($B13="Activity",IF($Z13=TRUE,"X","O"),"")),"")))</f>
        <v/>
      </c>
      <c r="BP13" s="39" t="str">
        <f t="shared" ca="1" si="50"/>
        <v/>
      </c>
      <c r="BQ13" s="39" t="str">
        <f t="shared" ca="1" si="50"/>
        <v/>
      </c>
      <c r="BR13" s="39" t="str">
        <f t="shared" ca="1" si="50"/>
        <v/>
      </c>
      <c r="BS13" s="39" t="str">
        <f t="shared" ca="1" si="50"/>
        <v/>
      </c>
      <c r="BT13" s="39" t="str">
        <f t="shared" ca="1" si="50"/>
        <v/>
      </c>
      <c r="BU13" s="39" t="str">
        <f t="shared" ca="1" si="50"/>
        <v/>
      </c>
      <c r="BV13" s="39" t="str">
        <f t="shared" ca="1" si="50"/>
        <v/>
      </c>
      <c r="BW13" s="39" t="str">
        <f t="shared" ca="1" si="50"/>
        <v/>
      </c>
      <c r="BX13" s="39" t="str">
        <f t="shared" ca="1" si="50"/>
        <v/>
      </c>
      <c r="BY13" s="39" t="str">
        <f t="shared" ref="BY13:CK22" ca="1" si="51">IF($A13="","",IF($B13="Milestone",IF(AND(BY$1&lt;=$R13,BY$1+7&gt;$R13),"◆",""),IF(AND(BY$1&lt;$S13,BY$1+7&gt;$R13),IF($B13="Summary","=",IF($B13="Activity",IF($Z13=TRUE,"X","O"),"")),"")))</f>
        <v/>
      </c>
      <c r="BZ13" s="39" t="str">
        <f t="shared" ca="1" si="51"/>
        <v/>
      </c>
      <c r="CA13" s="39" t="str">
        <f t="shared" ca="1" si="51"/>
        <v/>
      </c>
      <c r="CB13" s="39" t="str">
        <f t="shared" ca="1" si="51"/>
        <v/>
      </c>
      <c r="CC13" s="39" t="str">
        <f t="shared" ca="1" si="51"/>
        <v/>
      </c>
      <c r="CD13" s="39" t="str">
        <f t="shared" ca="1" si="51"/>
        <v/>
      </c>
      <c r="CE13" s="39" t="str">
        <f t="shared" ca="1" si="51"/>
        <v/>
      </c>
      <c r="CF13" s="39" t="str">
        <f t="shared" ca="1" si="51"/>
        <v/>
      </c>
      <c r="CG13" s="39" t="str">
        <f t="shared" ca="1" si="51"/>
        <v/>
      </c>
      <c r="CH13" s="39" t="str">
        <f t="shared" ca="1" si="51"/>
        <v/>
      </c>
      <c r="CI13" s="39" t="str">
        <f t="shared" ca="1" si="51"/>
        <v/>
      </c>
      <c r="CJ13" s="39" t="str">
        <f t="shared" ca="1" si="51"/>
        <v/>
      </c>
      <c r="CK13" s="39" t="str">
        <f t="shared" ca="1" si="51"/>
        <v/>
      </c>
      <c r="CL13" t="str">
        <f ca="1"/>
        <v/>
      </c>
    </row>
    <row r="14" spans="1:90" ht="18.75" customHeight="1">
      <c r="A14" s="30" t="s">
        <v>123</v>
      </c>
      <c r="B14" s="18" t="s">
        <v>7</v>
      </c>
      <c r="C14" s="28"/>
      <c r="D14" s="10" t="s">
        <v>103</v>
      </c>
      <c r="E14" s="22"/>
      <c r="F14" s="20"/>
      <c r="G14" s="20"/>
      <c r="H14" s="20"/>
      <c r="I14" s="23"/>
      <c r="J14" s="18">
        <v>7</v>
      </c>
      <c r="K14" s="24"/>
      <c r="L14" s="28" t="s">
        <v>154</v>
      </c>
      <c r="M14" s="25"/>
      <c r="Q14" s="6">
        <f ca="1"/>
        <v>7</v>
      </c>
      <c r="R14" s="11" vm="16">
        <f ca="1"/>
        <v>46532</v>
      </c>
      <c r="S14" s="11" vm="18">
        <f ca="1"/>
        <v>46581</v>
      </c>
      <c r="T14" s="17">
        <f ca="1"/>
        <v>31</v>
      </c>
      <c r="U14" s="17">
        <f ca="1"/>
        <v>38</v>
      </c>
      <c r="V14" s="17">
        <f ca="1"/>
        <v>31</v>
      </c>
      <c r="W14" s="17">
        <f ca="1"/>
        <v>38</v>
      </c>
      <c r="X14" s="17">
        <f ca="1"/>
        <v>0</v>
      </c>
      <c r="Y14" s="17">
        <f ca="1"/>
        <v>0</v>
      </c>
      <c r="Z14" s="33" t="b">
        <f ca="1"/>
        <v>1</v>
      </c>
      <c r="AA14" s="38" t="str">
        <f t="shared" ca="1" si="46"/>
        <v/>
      </c>
      <c r="AB14" s="16" t="str">
        <f t="shared" ca="1" si="46"/>
        <v/>
      </c>
      <c r="AC14" s="16" t="str">
        <f t="shared" ca="1" si="46"/>
        <v/>
      </c>
      <c r="AD14" s="39" t="str">
        <f t="shared" ca="1" si="46"/>
        <v/>
      </c>
      <c r="AE14" s="38" t="str">
        <f t="shared" ca="1" si="46"/>
        <v/>
      </c>
      <c r="AF14" s="16" t="str">
        <f t="shared" ca="1" si="46"/>
        <v/>
      </c>
      <c r="AG14" s="16" t="str">
        <f t="shared" ca="1" si="46"/>
        <v/>
      </c>
      <c r="AH14" s="39" t="str">
        <f t="shared" ca="1" si="46"/>
        <v/>
      </c>
      <c r="AI14" s="38" t="str">
        <f t="shared" ca="1" si="46"/>
        <v/>
      </c>
      <c r="AJ14" s="16" t="str">
        <f t="shared" ca="1" si="46"/>
        <v/>
      </c>
      <c r="AK14" s="46" t="str">
        <f t="shared" ca="1" si="47"/>
        <v/>
      </c>
      <c r="AL14" s="52" t="str">
        <f t="shared" ca="1" si="47"/>
        <v/>
      </c>
      <c r="AM14" s="49" t="str">
        <f t="shared" ca="1" si="47"/>
        <v/>
      </c>
      <c r="AN14" s="34" t="str">
        <f t="shared" ca="1" si="47"/>
        <v/>
      </c>
      <c r="AO14" s="16" t="str">
        <f t="shared" ca="1" si="47"/>
        <v/>
      </c>
      <c r="AP14" s="16" t="str">
        <f t="shared" ca="1" si="47"/>
        <v/>
      </c>
      <c r="AQ14" s="39" t="str">
        <f t="shared" ca="1" si="47"/>
        <v/>
      </c>
      <c r="AR14" s="38" t="str">
        <f t="shared" ca="1" si="47"/>
        <v/>
      </c>
      <c r="AS14" s="16" t="str">
        <f t="shared" ca="1" si="47"/>
        <v/>
      </c>
      <c r="AT14" s="16" t="str">
        <f t="shared" ca="1" si="47"/>
        <v/>
      </c>
      <c r="AU14" s="39" t="str">
        <f t="shared" ca="1" si="48"/>
        <v/>
      </c>
      <c r="AV14" s="38" t="str">
        <f t="shared" ca="1" si="48"/>
        <v/>
      </c>
      <c r="AW14" s="16" t="str">
        <f t="shared" ca="1" si="48"/>
        <v/>
      </c>
      <c r="AX14" s="16" t="str">
        <f t="shared" ca="1" si="48"/>
        <v/>
      </c>
      <c r="AY14" s="16" t="str">
        <f t="shared" ca="1" si="48"/>
        <v/>
      </c>
      <c r="AZ14" s="39" t="str">
        <f t="shared" ca="1" si="48"/>
        <v/>
      </c>
      <c r="BA14" s="39" t="str">
        <f t="shared" ca="1" si="48"/>
        <v/>
      </c>
      <c r="BB14" s="39" t="str">
        <f t="shared" ca="1" si="48"/>
        <v/>
      </c>
      <c r="BC14" s="39" t="str">
        <f t="shared" ca="1" si="48"/>
        <v/>
      </c>
      <c r="BD14" s="39" t="str">
        <f t="shared" ca="1" si="48"/>
        <v/>
      </c>
      <c r="BE14" s="39" t="str">
        <f t="shared" ca="1" si="49"/>
        <v/>
      </c>
      <c r="BF14" s="39" t="str">
        <f t="shared" ca="1" si="49"/>
        <v>X</v>
      </c>
      <c r="BG14" s="39" t="str">
        <f t="shared" ca="1" si="49"/>
        <v>X</v>
      </c>
      <c r="BH14" s="39" t="str">
        <f t="shared" ca="1" si="49"/>
        <v>X</v>
      </c>
      <c r="BI14" s="39" t="str">
        <f t="shared" ca="1" si="49"/>
        <v>X</v>
      </c>
      <c r="BJ14" s="39" t="str">
        <f t="shared" ca="1" si="49"/>
        <v>X</v>
      </c>
      <c r="BK14" s="39" t="str">
        <f t="shared" ca="1" si="49"/>
        <v>X</v>
      </c>
      <c r="BL14" s="39" t="str">
        <f t="shared" ca="1" si="49"/>
        <v>X</v>
      </c>
      <c r="BM14" s="39" t="str">
        <f t="shared" ca="1" si="49"/>
        <v/>
      </c>
      <c r="BN14" s="39" t="str">
        <f t="shared" ca="1" si="49"/>
        <v/>
      </c>
      <c r="BO14" s="39" t="str">
        <f t="shared" ca="1" si="50"/>
        <v/>
      </c>
      <c r="BP14" s="39" t="str">
        <f t="shared" ca="1" si="50"/>
        <v/>
      </c>
      <c r="BQ14" s="39" t="str">
        <f t="shared" ca="1" si="50"/>
        <v/>
      </c>
      <c r="BR14" s="39" t="str">
        <f t="shared" ca="1" si="50"/>
        <v/>
      </c>
      <c r="BS14" s="39" t="str">
        <f t="shared" ca="1" si="50"/>
        <v/>
      </c>
      <c r="BT14" s="39" t="str">
        <f t="shared" ca="1" si="50"/>
        <v/>
      </c>
      <c r="BU14" s="39" t="str">
        <f t="shared" ca="1" si="50"/>
        <v/>
      </c>
      <c r="BV14" s="39" t="str">
        <f t="shared" ca="1" si="50"/>
        <v/>
      </c>
      <c r="BW14" s="39" t="str">
        <f t="shared" ca="1" si="50"/>
        <v/>
      </c>
      <c r="BX14" s="39" t="str">
        <f t="shared" ca="1" si="50"/>
        <v/>
      </c>
      <c r="BY14" s="39" t="str">
        <f t="shared" ca="1" si="51"/>
        <v/>
      </c>
      <c r="BZ14" s="39" t="str">
        <f t="shared" ca="1" si="51"/>
        <v/>
      </c>
      <c r="CA14" s="39" t="str">
        <f t="shared" ca="1" si="51"/>
        <v/>
      </c>
      <c r="CB14" s="39" t="str">
        <f t="shared" ca="1" si="51"/>
        <v/>
      </c>
      <c r="CC14" s="39" t="str">
        <f t="shared" ca="1" si="51"/>
        <v/>
      </c>
      <c r="CD14" s="39" t="str">
        <f t="shared" ca="1" si="51"/>
        <v/>
      </c>
      <c r="CE14" s="39" t="str">
        <f t="shared" ca="1" si="51"/>
        <v/>
      </c>
      <c r="CF14" s="39" t="str">
        <f t="shared" ca="1" si="51"/>
        <v/>
      </c>
      <c r="CG14" s="39" t="str">
        <f t="shared" ca="1" si="51"/>
        <v/>
      </c>
      <c r="CH14" s="39" t="str">
        <f t="shared" ca="1" si="51"/>
        <v/>
      </c>
      <c r="CI14" s="39" t="str">
        <f t="shared" ca="1" si="51"/>
        <v/>
      </c>
      <c r="CJ14" s="39" t="str">
        <f t="shared" ca="1" si="51"/>
        <v/>
      </c>
      <c r="CK14" s="39" t="str">
        <f t="shared" ca="1" si="51"/>
        <v/>
      </c>
      <c r="CL14" t="str">
        <f ca="1"/>
        <v/>
      </c>
    </row>
    <row r="15" spans="1:90" ht="18.75" customHeight="1">
      <c r="A15" s="30" t="s">
        <v>124</v>
      </c>
      <c r="B15" s="18" t="s">
        <v>7</v>
      </c>
      <c r="C15" s="19"/>
      <c r="D15" s="10" t="s">
        <v>104</v>
      </c>
      <c r="E15" s="22"/>
      <c r="F15" s="20"/>
      <c r="G15" s="20"/>
      <c r="H15" s="20"/>
      <c r="I15" s="23"/>
      <c r="J15" s="18">
        <v>4</v>
      </c>
      <c r="K15" s="24"/>
      <c r="L15" s="28" t="s">
        <v>155</v>
      </c>
      <c r="Q15" s="6">
        <f ca="1"/>
        <v>4</v>
      </c>
      <c r="R15" s="11" vm="18">
        <f ca="1"/>
        <v>46581</v>
      </c>
      <c r="S15" s="11" vm="19">
        <f ca="1"/>
        <v>46609</v>
      </c>
      <c r="T15" s="17">
        <f ca="1"/>
        <v>38</v>
      </c>
      <c r="U15" s="17">
        <f ca="1"/>
        <v>42</v>
      </c>
      <c r="V15" s="17">
        <f ca="1"/>
        <v>55</v>
      </c>
      <c r="W15" s="17">
        <f ca="1"/>
        <v>59</v>
      </c>
      <c r="X15" s="17">
        <f ca="1"/>
        <v>17</v>
      </c>
      <c r="Y15" s="17">
        <f ca="1"/>
        <v>17</v>
      </c>
      <c r="Z15" s="33" t="b">
        <f ca="1"/>
        <v>0</v>
      </c>
      <c r="AA15" s="38" t="str">
        <f t="shared" ca="1" si="46"/>
        <v/>
      </c>
      <c r="AB15" s="16" t="str">
        <f t="shared" ca="1" si="46"/>
        <v/>
      </c>
      <c r="AC15" s="16" t="str">
        <f t="shared" ca="1" si="46"/>
        <v/>
      </c>
      <c r="AD15" s="39" t="str">
        <f t="shared" ca="1" si="46"/>
        <v/>
      </c>
      <c r="AE15" s="38" t="str">
        <f t="shared" ca="1" si="46"/>
        <v/>
      </c>
      <c r="AF15" s="16" t="str">
        <f t="shared" ca="1" si="46"/>
        <v/>
      </c>
      <c r="AG15" s="16" t="str">
        <f t="shared" ca="1" si="46"/>
        <v/>
      </c>
      <c r="AH15" s="39" t="str">
        <f t="shared" ca="1" si="46"/>
        <v/>
      </c>
      <c r="AI15" s="38" t="str">
        <f t="shared" ca="1" si="46"/>
        <v/>
      </c>
      <c r="AJ15" s="16" t="str">
        <f t="shared" ca="1" si="46"/>
        <v/>
      </c>
      <c r="AK15" s="46" t="str">
        <f t="shared" ca="1" si="47"/>
        <v/>
      </c>
      <c r="AL15" s="52" t="str">
        <f t="shared" ca="1" si="47"/>
        <v/>
      </c>
      <c r="AM15" s="49" t="str">
        <f t="shared" ca="1" si="47"/>
        <v/>
      </c>
      <c r="AN15" s="34" t="str">
        <f t="shared" ca="1" si="47"/>
        <v/>
      </c>
      <c r="AO15" s="16" t="str">
        <f t="shared" ca="1" si="47"/>
        <v/>
      </c>
      <c r="AP15" s="16" t="str">
        <f t="shared" ca="1" si="47"/>
        <v/>
      </c>
      <c r="AQ15" s="39" t="str">
        <f t="shared" ca="1" si="47"/>
        <v/>
      </c>
      <c r="AR15" s="38" t="str">
        <f t="shared" ca="1" si="47"/>
        <v/>
      </c>
      <c r="AS15" s="16" t="str">
        <f t="shared" ca="1" si="47"/>
        <v/>
      </c>
      <c r="AT15" s="16" t="str">
        <f t="shared" ca="1" si="47"/>
        <v/>
      </c>
      <c r="AU15" s="39" t="str">
        <f t="shared" ca="1" si="48"/>
        <v/>
      </c>
      <c r="AV15" s="38" t="str">
        <f t="shared" ca="1" si="48"/>
        <v/>
      </c>
      <c r="AW15" s="16" t="str">
        <f t="shared" ca="1" si="48"/>
        <v/>
      </c>
      <c r="AX15" s="16" t="str">
        <f t="shared" ca="1" si="48"/>
        <v/>
      </c>
      <c r="AY15" s="16" t="str">
        <f t="shared" ca="1" si="48"/>
        <v/>
      </c>
      <c r="AZ15" s="39" t="str">
        <f t="shared" ca="1" si="48"/>
        <v/>
      </c>
      <c r="BA15" s="39" t="str">
        <f t="shared" ca="1" si="48"/>
        <v/>
      </c>
      <c r="BB15" s="39" t="str">
        <f t="shared" ca="1" si="48"/>
        <v/>
      </c>
      <c r="BC15" s="39" t="str">
        <f t="shared" ca="1" si="48"/>
        <v/>
      </c>
      <c r="BD15" s="39" t="str">
        <f t="shared" ca="1" si="48"/>
        <v/>
      </c>
      <c r="BE15" s="39" t="str">
        <f t="shared" ca="1" si="49"/>
        <v/>
      </c>
      <c r="BF15" s="39" t="str">
        <f t="shared" ca="1" si="49"/>
        <v/>
      </c>
      <c r="BG15" s="39" t="str">
        <f t="shared" ca="1" si="49"/>
        <v/>
      </c>
      <c r="BH15" s="39" t="str">
        <f t="shared" ca="1" si="49"/>
        <v/>
      </c>
      <c r="BI15" s="39" t="str">
        <f t="shared" ca="1" si="49"/>
        <v/>
      </c>
      <c r="BJ15" s="39" t="str">
        <f t="shared" ca="1" si="49"/>
        <v/>
      </c>
      <c r="BK15" s="39" t="str">
        <f t="shared" ca="1" si="49"/>
        <v/>
      </c>
      <c r="BL15" s="39" t="str">
        <f t="shared" ca="1" si="49"/>
        <v/>
      </c>
      <c r="BM15" s="39" t="str">
        <f t="shared" ca="1" si="49"/>
        <v>O</v>
      </c>
      <c r="BN15" s="39" t="str">
        <f t="shared" ca="1" si="49"/>
        <v>O</v>
      </c>
      <c r="BO15" s="39" t="str">
        <f t="shared" ca="1" si="50"/>
        <v>O</v>
      </c>
      <c r="BP15" s="39" t="str">
        <f t="shared" ca="1" si="50"/>
        <v>O</v>
      </c>
      <c r="BQ15" s="39" t="str">
        <f t="shared" ca="1" si="50"/>
        <v/>
      </c>
      <c r="BR15" s="39" t="str">
        <f t="shared" ca="1" si="50"/>
        <v/>
      </c>
      <c r="BS15" s="39" t="str">
        <f t="shared" ca="1" si="50"/>
        <v/>
      </c>
      <c r="BT15" s="39" t="str">
        <f t="shared" ca="1" si="50"/>
        <v/>
      </c>
      <c r="BU15" s="39" t="str">
        <f t="shared" ca="1" si="50"/>
        <v/>
      </c>
      <c r="BV15" s="39" t="str">
        <f t="shared" ca="1" si="50"/>
        <v/>
      </c>
      <c r="BW15" s="39" t="str">
        <f t="shared" ca="1" si="50"/>
        <v/>
      </c>
      <c r="BX15" s="39" t="str">
        <f t="shared" ca="1" si="50"/>
        <v/>
      </c>
      <c r="BY15" s="39" t="str">
        <f t="shared" ca="1" si="51"/>
        <v/>
      </c>
      <c r="BZ15" s="39" t="str">
        <f t="shared" ca="1" si="51"/>
        <v/>
      </c>
      <c r="CA15" s="39" t="str">
        <f t="shared" ca="1" si="51"/>
        <v/>
      </c>
      <c r="CB15" s="39" t="str">
        <f t="shared" ca="1" si="51"/>
        <v/>
      </c>
      <c r="CC15" s="39" t="str">
        <f t="shared" ca="1" si="51"/>
        <v/>
      </c>
      <c r="CD15" s="39" t="str">
        <f t="shared" ca="1" si="51"/>
        <v/>
      </c>
      <c r="CE15" s="39" t="str">
        <f t="shared" ca="1" si="51"/>
        <v/>
      </c>
      <c r="CF15" s="39" t="str">
        <f t="shared" ca="1" si="51"/>
        <v/>
      </c>
      <c r="CG15" s="39" t="str">
        <f t="shared" ca="1" si="51"/>
        <v/>
      </c>
      <c r="CH15" s="39" t="str">
        <f t="shared" ca="1" si="51"/>
        <v/>
      </c>
      <c r="CI15" s="39" t="str">
        <f t="shared" ca="1" si="51"/>
        <v/>
      </c>
      <c r="CJ15" s="39" t="str">
        <f t="shared" ca="1" si="51"/>
        <v/>
      </c>
      <c r="CK15" s="39" t="str">
        <f t="shared" ca="1" si="51"/>
        <v/>
      </c>
      <c r="CL15" t="str">
        <f ca="1"/>
        <v/>
      </c>
    </row>
    <row r="16" spans="1:90" ht="18.75" customHeight="1">
      <c r="A16" s="30" t="s">
        <v>125</v>
      </c>
      <c r="B16" s="18" t="s">
        <v>111</v>
      </c>
      <c r="C16" s="28"/>
      <c r="D16" s="10" t="s">
        <v>105</v>
      </c>
      <c r="E16" s="22"/>
      <c r="F16" s="20"/>
      <c r="G16" s="20"/>
      <c r="H16" s="20"/>
      <c r="I16" s="23"/>
      <c r="J16" s="18">
        <v>0</v>
      </c>
      <c r="K16" s="24"/>
      <c r="L16" s="28" t="s">
        <v>157</v>
      </c>
      <c r="Q16" s="6">
        <f ca="1"/>
        <v>12</v>
      </c>
      <c r="R16" s="11" vm="18">
        <f ca="1"/>
        <v>46581</v>
      </c>
      <c r="S16" s="11" vm="20">
        <f ca="1"/>
        <v>46665</v>
      </c>
      <c r="T16" s="17">
        <f ca="1"/>
        <v>38</v>
      </c>
      <c r="U16" s="17">
        <f ca="1"/>
        <v>50</v>
      </c>
      <c r="V16" s="17" t="str">
        <f ca="1"/>
        <v/>
      </c>
      <c r="W16" s="17" t="str">
        <f ca="1"/>
        <v/>
      </c>
      <c r="X16" s="17" t="str">
        <f ca="1"/>
        <v/>
      </c>
      <c r="Y16" s="17" t="str">
        <f ca="1"/>
        <v/>
      </c>
      <c r="Z16" s="33" t="b">
        <f ca="1"/>
        <v>0</v>
      </c>
      <c r="AA16" s="38" t="str">
        <f t="shared" ca="1" si="46"/>
        <v/>
      </c>
      <c r="AB16" s="16" t="str">
        <f t="shared" ca="1" si="46"/>
        <v/>
      </c>
      <c r="AC16" s="16" t="str">
        <f t="shared" ca="1" si="46"/>
        <v/>
      </c>
      <c r="AD16" s="39" t="str">
        <f t="shared" ca="1" si="46"/>
        <v/>
      </c>
      <c r="AE16" s="38" t="str">
        <f t="shared" ca="1" si="46"/>
        <v/>
      </c>
      <c r="AF16" s="16" t="str">
        <f t="shared" ca="1" si="46"/>
        <v/>
      </c>
      <c r="AG16" s="16" t="str">
        <f t="shared" ca="1" si="46"/>
        <v/>
      </c>
      <c r="AH16" s="39" t="str">
        <f t="shared" ca="1" si="46"/>
        <v/>
      </c>
      <c r="AI16" s="38" t="str">
        <f t="shared" ca="1" si="46"/>
        <v/>
      </c>
      <c r="AJ16" s="16" t="str">
        <f t="shared" ca="1" si="46"/>
        <v/>
      </c>
      <c r="AK16" s="46" t="str">
        <f t="shared" ca="1" si="47"/>
        <v/>
      </c>
      <c r="AL16" s="52" t="str">
        <f t="shared" ca="1" si="47"/>
        <v/>
      </c>
      <c r="AM16" s="49" t="str">
        <f t="shared" ca="1" si="47"/>
        <v/>
      </c>
      <c r="AN16" s="34" t="str">
        <f t="shared" ca="1" si="47"/>
        <v/>
      </c>
      <c r="AO16" s="16" t="str">
        <f t="shared" ca="1" si="47"/>
        <v/>
      </c>
      <c r="AP16" s="16" t="str">
        <f t="shared" ca="1" si="47"/>
        <v/>
      </c>
      <c r="AQ16" s="39" t="str">
        <f t="shared" ca="1" si="47"/>
        <v/>
      </c>
      <c r="AR16" s="38" t="str">
        <f t="shared" ca="1" si="47"/>
        <v/>
      </c>
      <c r="AS16" s="16" t="str">
        <f t="shared" ca="1" si="47"/>
        <v/>
      </c>
      <c r="AT16" s="16" t="str">
        <f t="shared" ca="1" si="47"/>
        <v/>
      </c>
      <c r="AU16" s="39" t="str">
        <f t="shared" ca="1" si="48"/>
        <v/>
      </c>
      <c r="AV16" s="38" t="str">
        <f t="shared" ca="1" si="48"/>
        <v/>
      </c>
      <c r="AW16" s="16" t="str">
        <f t="shared" ca="1" si="48"/>
        <v/>
      </c>
      <c r="AX16" s="16" t="str">
        <f t="shared" ca="1" si="48"/>
        <v/>
      </c>
      <c r="AY16" s="16" t="str">
        <f t="shared" ca="1" si="48"/>
        <v/>
      </c>
      <c r="AZ16" s="39" t="str">
        <f t="shared" ca="1" si="48"/>
        <v/>
      </c>
      <c r="BA16" s="39" t="str">
        <f t="shared" ca="1" si="48"/>
        <v/>
      </c>
      <c r="BB16" s="39" t="str">
        <f t="shared" ca="1" si="48"/>
        <v/>
      </c>
      <c r="BC16" s="39" t="str">
        <f t="shared" ca="1" si="48"/>
        <v/>
      </c>
      <c r="BD16" s="39" t="str">
        <f t="shared" ca="1" si="48"/>
        <v/>
      </c>
      <c r="BE16" s="39" t="str">
        <f t="shared" ca="1" si="49"/>
        <v/>
      </c>
      <c r="BF16" s="39" t="str">
        <f t="shared" ca="1" si="49"/>
        <v/>
      </c>
      <c r="BG16" s="39" t="str">
        <f t="shared" ca="1" si="49"/>
        <v/>
      </c>
      <c r="BH16" s="39" t="str">
        <f t="shared" ca="1" si="49"/>
        <v/>
      </c>
      <c r="BI16" s="39" t="str">
        <f t="shared" ca="1" si="49"/>
        <v/>
      </c>
      <c r="BJ16" s="39" t="str">
        <f t="shared" ca="1" si="49"/>
        <v/>
      </c>
      <c r="BK16" s="39" t="str">
        <f t="shared" ca="1" si="49"/>
        <v/>
      </c>
      <c r="BL16" s="39" t="str">
        <f t="shared" ca="1" si="49"/>
        <v/>
      </c>
      <c r="BM16" s="39" t="str">
        <f t="shared" ca="1" si="49"/>
        <v>=</v>
      </c>
      <c r="BN16" s="39" t="str">
        <f t="shared" ca="1" si="49"/>
        <v>=</v>
      </c>
      <c r="BO16" s="39" t="str">
        <f t="shared" ca="1" si="50"/>
        <v>=</v>
      </c>
      <c r="BP16" s="39" t="str">
        <f t="shared" ca="1" si="50"/>
        <v>=</v>
      </c>
      <c r="BQ16" s="39" t="str">
        <f t="shared" ca="1" si="50"/>
        <v>=</v>
      </c>
      <c r="BR16" s="39" t="str">
        <f t="shared" ca="1" si="50"/>
        <v>=</v>
      </c>
      <c r="BS16" s="39" t="str">
        <f t="shared" ca="1" si="50"/>
        <v>=</v>
      </c>
      <c r="BT16" s="39" t="str">
        <f t="shared" ca="1" si="50"/>
        <v>=</v>
      </c>
      <c r="BU16" s="39" t="str">
        <f t="shared" ca="1" si="50"/>
        <v>=</v>
      </c>
      <c r="BV16" s="39" t="str">
        <f t="shared" ca="1" si="50"/>
        <v>=</v>
      </c>
      <c r="BW16" s="39" t="str">
        <f t="shared" ca="1" si="50"/>
        <v>=</v>
      </c>
      <c r="BX16" s="39" t="str">
        <f t="shared" ca="1" si="50"/>
        <v>=</v>
      </c>
      <c r="BY16" s="39" t="str">
        <f t="shared" ca="1" si="51"/>
        <v/>
      </c>
      <c r="BZ16" s="39" t="str">
        <f t="shared" ca="1" si="51"/>
        <v/>
      </c>
      <c r="CA16" s="39" t="str">
        <f t="shared" ca="1" si="51"/>
        <v/>
      </c>
      <c r="CB16" s="39" t="str">
        <f t="shared" ca="1" si="51"/>
        <v/>
      </c>
      <c r="CC16" s="39" t="str">
        <f t="shared" ca="1" si="51"/>
        <v/>
      </c>
      <c r="CD16" s="39" t="str">
        <f t="shared" ca="1" si="51"/>
        <v/>
      </c>
      <c r="CE16" s="39" t="str">
        <f t="shared" ca="1" si="51"/>
        <v/>
      </c>
      <c r="CF16" s="39" t="str">
        <f t="shared" ca="1" si="51"/>
        <v/>
      </c>
      <c r="CG16" s="39" t="str">
        <f t="shared" ca="1" si="51"/>
        <v/>
      </c>
      <c r="CH16" s="39" t="str">
        <f t="shared" ca="1" si="51"/>
        <v/>
      </c>
      <c r="CI16" s="39" t="str">
        <f t="shared" ca="1" si="51"/>
        <v/>
      </c>
      <c r="CJ16" s="39" t="str">
        <f t="shared" ca="1" si="51"/>
        <v/>
      </c>
      <c r="CK16" s="39" t="str">
        <f t="shared" ca="1" si="51"/>
        <v/>
      </c>
      <c r="CL16" t="str">
        <f ca="1"/>
        <v/>
      </c>
    </row>
    <row r="17" spans="1:90" ht="18.75" customHeight="1">
      <c r="A17" s="30" t="s">
        <v>126</v>
      </c>
      <c r="B17" s="18" t="s">
        <v>7</v>
      </c>
      <c r="C17" s="28"/>
      <c r="D17" s="64" t="s">
        <v>134</v>
      </c>
      <c r="E17" s="22"/>
      <c r="F17" s="20"/>
      <c r="G17" s="20"/>
      <c r="H17" s="20"/>
      <c r="I17" s="23"/>
      <c r="J17" s="18">
        <v>2</v>
      </c>
      <c r="K17" s="24"/>
      <c r="L17" s="28" t="s">
        <v>146</v>
      </c>
      <c r="Q17" s="6">
        <f ca="1"/>
        <v>2</v>
      </c>
      <c r="R17" s="11" vm="18">
        <f ca="1"/>
        <v>46581</v>
      </c>
      <c r="S17" s="11" vm="21">
        <f ca="1"/>
        <v>46595</v>
      </c>
      <c r="T17" s="17">
        <f ca="1"/>
        <v>38</v>
      </c>
      <c r="U17" s="17">
        <f ca="1"/>
        <v>40</v>
      </c>
      <c r="V17" s="17">
        <f ca="1"/>
        <v>38</v>
      </c>
      <c r="W17" s="17">
        <f ca="1"/>
        <v>40</v>
      </c>
      <c r="X17" s="17">
        <f ca="1"/>
        <v>0</v>
      </c>
      <c r="Y17" s="17">
        <f ca="1"/>
        <v>0</v>
      </c>
      <c r="Z17" s="33" t="b">
        <f ca="1"/>
        <v>1</v>
      </c>
      <c r="AA17" s="38" t="str">
        <f t="shared" ca="1" si="46"/>
        <v/>
      </c>
      <c r="AB17" s="16" t="str">
        <f t="shared" ca="1" si="46"/>
        <v/>
      </c>
      <c r="AC17" s="16" t="str">
        <f t="shared" ca="1" si="46"/>
        <v/>
      </c>
      <c r="AD17" s="39" t="str">
        <f t="shared" ca="1" si="46"/>
        <v/>
      </c>
      <c r="AE17" s="38" t="str">
        <f t="shared" ca="1" si="46"/>
        <v/>
      </c>
      <c r="AF17" s="16" t="str">
        <f t="shared" ca="1" si="46"/>
        <v/>
      </c>
      <c r="AG17" s="16" t="str">
        <f t="shared" ca="1" si="46"/>
        <v/>
      </c>
      <c r="AH17" s="39" t="str">
        <f t="shared" ca="1" si="46"/>
        <v/>
      </c>
      <c r="AI17" s="38" t="str">
        <f t="shared" ca="1" si="46"/>
        <v/>
      </c>
      <c r="AJ17" s="16" t="str">
        <f t="shared" ca="1" si="46"/>
        <v/>
      </c>
      <c r="AK17" s="46" t="str">
        <f t="shared" ca="1" si="47"/>
        <v/>
      </c>
      <c r="AL17" s="52" t="str">
        <f t="shared" ca="1" si="47"/>
        <v/>
      </c>
      <c r="AM17" s="49" t="str">
        <f t="shared" ca="1" si="47"/>
        <v/>
      </c>
      <c r="AN17" s="34" t="str">
        <f t="shared" ca="1" si="47"/>
        <v/>
      </c>
      <c r="AO17" s="16" t="str">
        <f t="shared" ca="1" si="47"/>
        <v/>
      </c>
      <c r="AP17" s="16" t="str">
        <f t="shared" ca="1" si="47"/>
        <v/>
      </c>
      <c r="AQ17" s="39" t="str">
        <f t="shared" ca="1" si="47"/>
        <v/>
      </c>
      <c r="AR17" s="38" t="str">
        <f t="shared" ca="1" si="47"/>
        <v/>
      </c>
      <c r="AS17" s="16" t="str">
        <f t="shared" ca="1" si="47"/>
        <v/>
      </c>
      <c r="AT17" s="16" t="str">
        <f t="shared" ca="1" si="47"/>
        <v/>
      </c>
      <c r="AU17" s="39" t="str">
        <f t="shared" ca="1" si="48"/>
        <v/>
      </c>
      <c r="AV17" s="38" t="str">
        <f t="shared" ca="1" si="48"/>
        <v/>
      </c>
      <c r="AW17" s="16" t="str">
        <f t="shared" ca="1" si="48"/>
        <v/>
      </c>
      <c r="AX17" s="16" t="str">
        <f t="shared" ca="1" si="48"/>
        <v/>
      </c>
      <c r="AY17" s="16" t="str">
        <f t="shared" ca="1" si="48"/>
        <v/>
      </c>
      <c r="AZ17" s="39" t="str">
        <f t="shared" ca="1" si="48"/>
        <v/>
      </c>
      <c r="BA17" s="39" t="str">
        <f t="shared" ca="1" si="48"/>
        <v/>
      </c>
      <c r="BB17" s="39" t="str">
        <f t="shared" ca="1" si="48"/>
        <v/>
      </c>
      <c r="BC17" s="39" t="str">
        <f t="shared" ca="1" si="48"/>
        <v/>
      </c>
      <c r="BD17" s="39" t="str">
        <f t="shared" ca="1" si="48"/>
        <v/>
      </c>
      <c r="BE17" s="39" t="str">
        <f t="shared" ca="1" si="49"/>
        <v/>
      </c>
      <c r="BF17" s="39" t="str">
        <f t="shared" ca="1" si="49"/>
        <v/>
      </c>
      <c r="BG17" s="39" t="str">
        <f t="shared" ca="1" si="49"/>
        <v/>
      </c>
      <c r="BH17" s="39" t="str">
        <f t="shared" ca="1" si="49"/>
        <v/>
      </c>
      <c r="BI17" s="39" t="str">
        <f t="shared" ca="1" si="49"/>
        <v/>
      </c>
      <c r="BJ17" s="39" t="str">
        <f t="shared" ca="1" si="49"/>
        <v/>
      </c>
      <c r="BK17" s="39" t="str">
        <f t="shared" ca="1" si="49"/>
        <v/>
      </c>
      <c r="BL17" s="39" t="str">
        <f t="shared" ca="1" si="49"/>
        <v/>
      </c>
      <c r="BM17" s="39" t="str">
        <f t="shared" ca="1" si="49"/>
        <v>X</v>
      </c>
      <c r="BN17" s="39" t="str">
        <f t="shared" ca="1" si="49"/>
        <v>X</v>
      </c>
      <c r="BO17" s="39" t="str">
        <f t="shared" ca="1" si="50"/>
        <v/>
      </c>
      <c r="BP17" s="39" t="str">
        <f t="shared" ca="1" si="50"/>
        <v/>
      </c>
      <c r="BQ17" s="39" t="str">
        <f t="shared" ca="1" si="50"/>
        <v/>
      </c>
      <c r="BR17" s="39" t="str">
        <f t="shared" ca="1" si="50"/>
        <v/>
      </c>
      <c r="BS17" s="39" t="str">
        <f t="shared" ca="1" si="50"/>
        <v/>
      </c>
      <c r="BT17" s="39" t="str">
        <f t="shared" ca="1" si="50"/>
        <v/>
      </c>
      <c r="BU17" s="39" t="str">
        <f t="shared" ca="1" si="50"/>
        <v/>
      </c>
      <c r="BV17" s="39" t="str">
        <f t="shared" ca="1" si="50"/>
        <v/>
      </c>
      <c r="BW17" s="39" t="str">
        <f t="shared" ca="1" si="50"/>
        <v/>
      </c>
      <c r="BX17" s="39" t="str">
        <f t="shared" ca="1" si="50"/>
        <v/>
      </c>
      <c r="BY17" s="39" t="str">
        <f t="shared" ca="1" si="51"/>
        <v/>
      </c>
      <c r="BZ17" s="39" t="str">
        <f t="shared" ca="1" si="51"/>
        <v/>
      </c>
      <c r="CA17" s="39" t="str">
        <f t="shared" ca="1" si="51"/>
        <v/>
      </c>
      <c r="CB17" s="39" t="str">
        <f t="shared" ca="1" si="51"/>
        <v/>
      </c>
      <c r="CC17" s="39" t="str">
        <f t="shared" ca="1" si="51"/>
        <v/>
      </c>
      <c r="CD17" s="39" t="str">
        <f t="shared" ca="1" si="51"/>
        <v/>
      </c>
      <c r="CE17" s="39" t="str">
        <f t="shared" ca="1" si="51"/>
        <v/>
      </c>
      <c r="CF17" s="39" t="str">
        <f t="shared" ca="1" si="51"/>
        <v/>
      </c>
      <c r="CG17" s="39" t="str">
        <f t="shared" ca="1" si="51"/>
        <v/>
      </c>
      <c r="CH17" s="39" t="str">
        <f t="shared" ca="1" si="51"/>
        <v/>
      </c>
      <c r="CI17" s="39" t="str">
        <f t="shared" ca="1" si="51"/>
        <v/>
      </c>
      <c r="CJ17" s="39" t="str">
        <f t="shared" ca="1" si="51"/>
        <v/>
      </c>
      <c r="CK17" s="39" t="str">
        <f t="shared" ca="1" si="51"/>
        <v/>
      </c>
      <c r="CL17" t="str">
        <f ca="1"/>
        <v/>
      </c>
    </row>
    <row r="18" spans="1:90" ht="18.75" customHeight="1">
      <c r="A18" s="30" t="s">
        <v>127</v>
      </c>
      <c r="B18" s="18" t="s">
        <v>7</v>
      </c>
      <c r="C18" s="28"/>
      <c r="D18" s="64" t="s">
        <v>135</v>
      </c>
      <c r="E18" s="22"/>
      <c r="F18" s="20"/>
      <c r="G18" s="20"/>
      <c r="H18" s="20"/>
      <c r="I18" s="23"/>
      <c r="J18" s="18">
        <v>3</v>
      </c>
      <c r="K18" s="24"/>
      <c r="L18" s="28" t="s">
        <v>147</v>
      </c>
      <c r="Q18" s="6">
        <f ca="1"/>
        <v>3</v>
      </c>
      <c r="R18" s="11" vm="22">
        <f ca="1"/>
        <v>46616</v>
      </c>
      <c r="S18" s="11" vm="23">
        <f ca="1"/>
        <v>46637</v>
      </c>
      <c r="T18" s="17">
        <f ca="1"/>
        <v>43</v>
      </c>
      <c r="U18" s="17">
        <f ca="1"/>
        <v>46</v>
      </c>
      <c r="V18" s="17">
        <f ca="1"/>
        <v>43</v>
      </c>
      <c r="W18" s="17">
        <f ca="1"/>
        <v>46</v>
      </c>
      <c r="X18" s="17">
        <f ca="1"/>
        <v>0</v>
      </c>
      <c r="Y18" s="17">
        <f ca="1"/>
        <v>0</v>
      </c>
      <c r="Z18" s="33" t="b">
        <f ca="1"/>
        <v>1</v>
      </c>
      <c r="AA18" s="38" t="str">
        <f t="shared" ca="1" si="46"/>
        <v/>
      </c>
      <c r="AB18" s="16" t="str">
        <f t="shared" ca="1" si="46"/>
        <v/>
      </c>
      <c r="AC18" s="16" t="str">
        <f t="shared" ca="1" si="46"/>
        <v/>
      </c>
      <c r="AD18" s="39" t="str">
        <f t="shared" ca="1" si="46"/>
        <v/>
      </c>
      <c r="AE18" s="38" t="str">
        <f t="shared" ca="1" si="46"/>
        <v/>
      </c>
      <c r="AF18" s="16" t="str">
        <f t="shared" ca="1" si="46"/>
        <v/>
      </c>
      <c r="AG18" s="16" t="str">
        <f t="shared" ca="1" si="46"/>
        <v/>
      </c>
      <c r="AH18" s="39" t="str">
        <f t="shared" ca="1" si="46"/>
        <v/>
      </c>
      <c r="AI18" s="38" t="str">
        <f t="shared" ca="1" si="46"/>
        <v/>
      </c>
      <c r="AJ18" s="16" t="str">
        <f t="shared" ca="1" si="46"/>
        <v/>
      </c>
      <c r="AK18" s="46" t="str">
        <f t="shared" ca="1" si="47"/>
        <v/>
      </c>
      <c r="AL18" s="52" t="str">
        <f t="shared" ca="1" si="47"/>
        <v/>
      </c>
      <c r="AM18" s="49" t="str">
        <f t="shared" ca="1" si="47"/>
        <v/>
      </c>
      <c r="AN18" s="34" t="str">
        <f t="shared" ca="1" si="47"/>
        <v/>
      </c>
      <c r="AO18" s="16" t="str">
        <f t="shared" ca="1" si="47"/>
        <v/>
      </c>
      <c r="AP18" s="16" t="str">
        <f t="shared" ca="1" si="47"/>
        <v/>
      </c>
      <c r="AQ18" s="39" t="str">
        <f t="shared" ca="1" si="47"/>
        <v/>
      </c>
      <c r="AR18" s="38" t="str">
        <f t="shared" ca="1" si="47"/>
        <v/>
      </c>
      <c r="AS18" s="16" t="str">
        <f t="shared" ca="1" si="47"/>
        <v/>
      </c>
      <c r="AT18" s="16" t="str">
        <f t="shared" ca="1" si="47"/>
        <v/>
      </c>
      <c r="AU18" s="39" t="str">
        <f t="shared" ca="1" si="48"/>
        <v/>
      </c>
      <c r="AV18" s="38" t="str">
        <f t="shared" ca="1" si="48"/>
        <v/>
      </c>
      <c r="AW18" s="16" t="str">
        <f t="shared" ca="1" si="48"/>
        <v/>
      </c>
      <c r="AX18" s="16" t="str">
        <f t="shared" ca="1" si="48"/>
        <v/>
      </c>
      <c r="AY18" s="16" t="str">
        <f t="shared" ca="1" si="48"/>
        <v/>
      </c>
      <c r="AZ18" s="39" t="str">
        <f t="shared" ca="1" si="48"/>
        <v/>
      </c>
      <c r="BA18" s="39" t="str">
        <f t="shared" ca="1" si="48"/>
        <v/>
      </c>
      <c r="BB18" s="39" t="str">
        <f t="shared" ca="1" si="48"/>
        <v/>
      </c>
      <c r="BC18" s="39" t="str">
        <f t="shared" ca="1" si="48"/>
        <v/>
      </c>
      <c r="BD18" s="39" t="str">
        <f t="shared" ca="1" si="48"/>
        <v/>
      </c>
      <c r="BE18" s="39" t="str">
        <f t="shared" ca="1" si="49"/>
        <v/>
      </c>
      <c r="BF18" s="39" t="str">
        <f t="shared" ca="1" si="49"/>
        <v/>
      </c>
      <c r="BG18" s="39" t="str">
        <f t="shared" ca="1" si="49"/>
        <v/>
      </c>
      <c r="BH18" s="39" t="str">
        <f t="shared" ca="1" si="49"/>
        <v/>
      </c>
      <c r="BI18" s="39" t="str">
        <f t="shared" ca="1" si="49"/>
        <v/>
      </c>
      <c r="BJ18" s="39" t="str">
        <f t="shared" ca="1" si="49"/>
        <v/>
      </c>
      <c r="BK18" s="39" t="str">
        <f t="shared" ca="1" si="49"/>
        <v/>
      </c>
      <c r="BL18" s="39" t="str">
        <f t="shared" ca="1" si="49"/>
        <v/>
      </c>
      <c r="BM18" s="39" t="str">
        <f t="shared" ca="1" si="49"/>
        <v/>
      </c>
      <c r="BN18" s="39" t="str">
        <f t="shared" ca="1" si="49"/>
        <v/>
      </c>
      <c r="BO18" s="39" t="str">
        <f t="shared" ca="1" si="50"/>
        <v/>
      </c>
      <c r="BP18" s="39" t="str">
        <f t="shared" ca="1" si="50"/>
        <v/>
      </c>
      <c r="BQ18" s="39" t="str">
        <f t="shared" ca="1" si="50"/>
        <v/>
      </c>
      <c r="BR18" s="39" t="str">
        <f t="shared" ca="1" si="50"/>
        <v>X</v>
      </c>
      <c r="BS18" s="39" t="str">
        <f t="shared" ca="1" si="50"/>
        <v>X</v>
      </c>
      <c r="BT18" s="39" t="str">
        <f t="shared" ca="1" si="50"/>
        <v>X</v>
      </c>
      <c r="BU18" s="39" t="str">
        <f t="shared" ca="1" si="50"/>
        <v/>
      </c>
      <c r="BV18" s="39" t="str">
        <f t="shared" ca="1" si="50"/>
        <v/>
      </c>
      <c r="BW18" s="39" t="str">
        <f t="shared" ca="1" si="50"/>
        <v/>
      </c>
      <c r="BX18" s="39" t="str">
        <f t="shared" ca="1" si="50"/>
        <v/>
      </c>
      <c r="BY18" s="39" t="str">
        <f t="shared" ca="1" si="51"/>
        <v/>
      </c>
      <c r="BZ18" s="39" t="str">
        <f t="shared" ca="1" si="51"/>
        <v/>
      </c>
      <c r="CA18" s="39" t="str">
        <f t="shared" ca="1" si="51"/>
        <v/>
      </c>
      <c r="CB18" s="39" t="str">
        <f t="shared" ca="1" si="51"/>
        <v/>
      </c>
      <c r="CC18" s="39" t="str">
        <f t="shared" ca="1" si="51"/>
        <v/>
      </c>
      <c r="CD18" s="39" t="str">
        <f t="shared" ca="1" si="51"/>
        <v/>
      </c>
      <c r="CE18" s="39" t="str">
        <f t="shared" ca="1" si="51"/>
        <v/>
      </c>
      <c r="CF18" s="39" t="str">
        <f t="shared" ca="1" si="51"/>
        <v/>
      </c>
      <c r="CG18" s="39" t="str">
        <f t="shared" ca="1" si="51"/>
        <v/>
      </c>
      <c r="CH18" s="39" t="str">
        <f t="shared" ca="1" si="51"/>
        <v/>
      </c>
      <c r="CI18" s="39" t="str">
        <f t="shared" ca="1" si="51"/>
        <v/>
      </c>
      <c r="CJ18" s="39" t="str">
        <f t="shared" ca="1" si="51"/>
        <v/>
      </c>
      <c r="CK18" s="39" t="str">
        <f t="shared" ca="1" si="51"/>
        <v/>
      </c>
      <c r="CL18" t="str">
        <f ca="1"/>
        <v/>
      </c>
    </row>
    <row r="19" spans="1:90" ht="18.75" customHeight="1">
      <c r="A19" s="30" t="s">
        <v>128</v>
      </c>
      <c r="B19" s="18" t="s">
        <v>7</v>
      </c>
      <c r="C19" s="28"/>
      <c r="D19" s="64" t="s">
        <v>136</v>
      </c>
      <c r="E19" s="22"/>
      <c r="F19" s="20"/>
      <c r="G19" s="20"/>
      <c r="H19" s="20"/>
      <c r="I19" s="23"/>
      <c r="J19" s="18">
        <v>2</v>
      </c>
      <c r="K19" s="24"/>
      <c r="L19" s="28" t="s">
        <v>148</v>
      </c>
      <c r="Q19" s="6">
        <f ca="1"/>
        <v>2</v>
      </c>
      <c r="R19" s="11" vm="24">
        <f ca="1"/>
        <v>46651</v>
      </c>
      <c r="S19" s="11" vm="20">
        <f ca="1"/>
        <v>46665</v>
      </c>
      <c r="T19" s="17">
        <f ca="1"/>
        <v>48</v>
      </c>
      <c r="U19" s="17">
        <f ca="1"/>
        <v>50</v>
      </c>
      <c r="V19" s="17">
        <f ca="1"/>
        <v>48</v>
      </c>
      <c r="W19" s="17">
        <f ca="1"/>
        <v>50</v>
      </c>
      <c r="X19" s="17">
        <f ca="1"/>
        <v>0</v>
      </c>
      <c r="Y19" s="17">
        <f ca="1"/>
        <v>0</v>
      </c>
      <c r="Z19" s="33" t="b">
        <f ca="1"/>
        <v>1</v>
      </c>
      <c r="AA19" s="38" t="str">
        <f t="shared" ca="1" si="46"/>
        <v/>
      </c>
      <c r="AB19" s="16" t="str">
        <f t="shared" ca="1" si="46"/>
        <v/>
      </c>
      <c r="AC19" s="16" t="str">
        <f t="shared" ca="1" si="46"/>
        <v/>
      </c>
      <c r="AD19" s="39" t="str">
        <f t="shared" ca="1" si="46"/>
        <v/>
      </c>
      <c r="AE19" s="38" t="str">
        <f t="shared" ca="1" si="46"/>
        <v/>
      </c>
      <c r="AF19" s="16" t="str">
        <f t="shared" ca="1" si="46"/>
        <v/>
      </c>
      <c r="AG19" s="16" t="str">
        <f t="shared" ca="1" si="46"/>
        <v/>
      </c>
      <c r="AH19" s="39" t="str">
        <f t="shared" ca="1" si="46"/>
        <v/>
      </c>
      <c r="AI19" s="38" t="str">
        <f t="shared" ca="1" si="46"/>
        <v/>
      </c>
      <c r="AJ19" s="16" t="str">
        <f t="shared" ca="1" si="46"/>
        <v/>
      </c>
      <c r="AK19" s="46" t="str">
        <f t="shared" ca="1" si="47"/>
        <v/>
      </c>
      <c r="AL19" s="52" t="str">
        <f t="shared" ca="1" si="47"/>
        <v/>
      </c>
      <c r="AM19" s="49" t="str">
        <f t="shared" ca="1" si="47"/>
        <v/>
      </c>
      <c r="AN19" s="34" t="str">
        <f t="shared" ca="1" si="47"/>
        <v/>
      </c>
      <c r="AO19" s="16" t="str">
        <f t="shared" ca="1" si="47"/>
        <v/>
      </c>
      <c r="AP19" s="16" t="str">
        <f t="shared" ca="1" si="47"/>
        <v/>
      </c>
      <c r="AQ19" s="39" t="str">
        <f t="shared" ca="1" si="47"/>
        <v/>
      </c>
      <c r="AR19" s="38" t="str">
        <f t="shared" ca="1" si="47"/>
        <v/>
      </c>
      <c r="AS19" s="16" t="str">
        <f t="shared" ca="1" si="47"/>
        <v/>
      </c>
      <c r="AT19" s="16" t="str">
        <f t="shared" ca="1" si="47"/>
        <v/>
      </c>
      <c r="AU19" s="39" t="str">
        <f t="shared" ca="1" si="48"/>
        <v/>
      </c>
      <c r="AV19" s="38" t="str">
        <f t="shared" ca="1" si="48"/>
        <v/>
      </c>
      <c r="AW19" s="16" t="str">
        <f t="shared" ca="1" si="48"/>
        <v/>
      </c>
      <c r="AX19" s="16" t="str">
        <f t="shared" ca="1" si="48"/>
        <v/>
      </c>
      <c r="AY19" s="16" t="str">
        <f t="shared" ca="1" si="48"/>
        <v/>
      </c>
      <c r="AZ19" s="39" t="str">
        <f t="shared" ca="1" si="48"/>
        <v/>
      </c>
      <c r="BA19" s="39" t="str">
        <f t="shared" ca="1" si="48"/>
        <v/>
      </c>
      <c r="BB19" s="39" t="str">
        <f t="shared" ca="1" si="48"/>
        <v/>
      </c>
      <c r="BC19" s="39" t="str">
        <f t="shared" ca="1" si="48"/>
        <v/>
      </c>
      <c r="BD19" s="39" t="str">
        <f t="shared" ca="1" si="48"/>
        <v/>
      </c>
      <c r="BE19" s="39" t="str">
        <f t="shared" ca="1" si="49"/>
        <v/>
      </c>
      <c r="BF19" s="39" t="str">
        <f t="shared" ca="1" si="49"/>
        <v/>
      </c>
      <c r="BG19" s="39" t="str">
        <f t="shared" ca="1" si="49"/>
        <v/>
      </c>
      <c r="BH19" s="39" t="str">
        <f t="shared" ca="1" si="49"/>
        <v/>
      </c>
      <c r="BI19" s="39" t="str">
        <f t="shared" ca="1" si="49"/>
        <v/>
      </c>
      <c r="BJ19" s="39" t="str">
        <f t="shared" ca="1" si="49"/>
        <v/>
      </c>
      <c r="BK19" s="39" t="str">
        <f t="shared" ca="1" si="49"/>
        <v/>
      </c>
      <c r="BL19" s="39" t="str">
        <f t="shared" ca="1" si="49"/>
        <v/>
      </c>
      <c r="BM19" s="39" t="str">
        <f t="shared" ca="1" si="49"/>
        <v/>
      </c>
      <c r="BN19" s="39" t="str">
        <f t="shared" ca="1" si="49"/>
        <v/>
      </c>
      <c r="BO19" s="39" t="str">
        <f t="shared" ca="1" si="50"/>
        <v/>
      </c>
      <c r="BP19" s="39" t="str">
        <f t="shared" ca="1" si="50"/>
        <v/>
      </c>
      <c r="BQ19" s="39" t="str">
        <f t="shared" ca="1" si="50"/>
        <v/>
      </c>
      <c r="BR19" s="39" t="str">
        <f t="shared" ca="1" si="50"/>
        <v/>
      </c>
      <c r="BS19" s="39" t="str">
        <f t="shared" ca="1" si="50"/>
        <v/>
      </c>
      <c r="BT19" s="39" t="str">
        <f t="shared" ca="1" si="50"/>
        <v/>
      </c>
      <c r="BU19" s="39" t="str">
        <f t="shared" ca="1" si="50"/>
        <v/>
      </c>
      <c r="BV19" s="39" t="str">
        <f t="shared" ca="1" si="50"/>
        <v/>
      </c>
      <c r="BW19" s="39" t="str">
        <f t="shared" ca="1" si="50"/>
        <v>X</v>
      </c>
      <c r="BX19" s="39" t="str">
        <f t="shared" ca="1" si="50"/>
        <v>X</v>
      </c>
      <c r="BY19" s="39" t="str">
        <f t="shared" ca="1" si="51"/>
        <v/>
      </c>
      <c r="BZ19" s="39" t="str">
        <f t="shared" ca="1" si="51"/>
        <v/>
      </c>
      <c r="CA19" s="39" t="str">
        <f t="shared" ca="1" si="51"/>
        <v/>
      </c>
      <c r="CB19" s="39" t="str">
        <f t="shared" ca="1" si="51"/>
        <v/>
      </c>
      <c r="CC19" s="39" t="str">
        <f t="shared" ca="1" si="51"/>
        <v/>
      </c>
      <c r="CD19" s="39" t="str">
        <f t="shared" ca="1" si="51"/>
        <v/>
      </c>
      <c r="CE19" s="39" t="str">
        <f t="shared" ca="1" si="51"/>
        <v/>
      </c>
      <c r="CF19" s="39" t="str">
        <f t="shared" ca="1" si="51"/>
        <v/>
      </c>
      <c r="CG19" s="39" t="str">
        <f t="shared" ca="1" si="51"/>
        <v/>
      </c>
      <c r="CH19" s="39" t="str">
        <f t="shared" ca="1" si="51"/>
        <v/>
      </c>
      <c r="CI19" s="39" t="str">
        <f t="shared" ca="1" si="51"/>
        <v/>
      </c>
      <c r="CJ19" s="39" t="str">
        <f t="shared" ca="1" si="51"/>
        <v/>
      </c>
      <c r="CK19" s="39" t="str">
        <f t="shared" ca="1" si="51"/>
        <v/>
      </c>
      <c r="CL19" t="str">
        <f ca="1"/>
        <v/>
      </c>
    </row>
    <row r="20" spans="1:90" ht="18.75" customHeight="1">
      <c r="A20" s="30" t="s">
        <v>129</v>
      </c>
      <c r="B20" s="18" t="s">
        <v>7</v>
      </c>
      <c r="C20" s="28"/>
      <c r="D20" s="10" t="s">
        <v>106</v>
      </c>
      <c r="E20" s="22"/>
      <c r="F20" s="20"/>
      <c r="G20" s="20"/>
      <c r="H20" s="20"/>
      <c r="I20" s="23"/>
      <c r="J20" s="18">
        <v>4</v>
      </c>
      <c r="K20" s="24"/>
      <c r="L20" s="28" t="s">
        <v>156</v>
      </c>
      <c r="Q20" s="6">
        <f ca="1"/>
        <v>4</v>
      </c>
      <c r="R20" s="11" vm="20">
        <f ca="1"/>
        <v>46665</v>
      </c>
      <c r="S20" s="11" vm="25">
        <f ca="1"/>
        <v>46693</v>
      </c>
      <c r="T20" s="17">
        <f ca="1"/>
        <v>50</v>
      </c>
      <c r="U20" s="17">
        <f ca="1"/>
        <v>54</v>
      </c>
      <c r="V20" s="17">
        <f ca="1"/>
        <v>50</v>
      </c>
      <c r="W20" s="17">
        <f ca="1"/>
        <v>54</v>
      </c>
      <c r="X20" s="17">
        <f ca="1"/>
        <v>0</v>
      </c>
      <c r="Y20" s="17">
        <f ca="1"/>
        <v>0</v>
      </c>
      <c r="Z20" s="33" t="b">
        <f ca="1"/>
        <v>1</v>
      </c>
      <c r="AA20" s="38" t="str">
        <f t="shared" ca="1" si="46"/>
        <v/>
      </c>
      <c r="AB20" s="16" t="str">
        <f t="shared" ca="1" si="46"/>
        <v/>
      </c>
      <c r="AC20" s="16" t="str">
        <f t="shared" ca="1" si="46"/>
        <v/>
      </c>
      <c r="AD20" s="39" t="str">
        <f t="shared" ca="1" si="46"/>
        <v/>
      </c>
      <c r="AE20" s="38" t="str">
        <f t="shared" ca="1" si="46"/>
        <v/>
      </c>
      <c r="AF20" s="16" t="str">
        <f t="shared" ca="1" si="46"/>
        <v/>
      </c>
      <c r="AG20" s="16" t="str">
        <f t="shared" ca="1" si="46"/>
        <v/>
      </c>
      <c r="AH20" s="39" t="str">
        <f t="shared" ca="1" si="46"/>
        <v/>
      </c>
      <c r="AI20" s="38" t="str">
        <f t="shared" ca="1" si="46"/>
        <v/>
      </c>
      <c r="AJ20" s="16" t="str">
        <f t="shared" ca="1" si="46"/>
        <v/>
      </c>
      <c r="AK20" s="46" t="str">
        <f t="shared" ca="1" si="47"/>
        <v/>
      </c>
      <c r="AL20" s="52" t="str">
        <f t="shared" ca="1" si="47"/>
        <v/>
      </c>
      <c r="AM20" s="49" t="str">
        <f t="shared" ca="1" si="47"/>
        <v/>
      </c>
      <c r="AN20" s="34" t="str">
        <f t="shared" ca="1" si="47"/>
        <v/>
      </c>
      <c r="AO20" s="16" t="str">
        <f t="shared" ca="1" si="47"/>
        <v/>
      </c>
      <c r="AP20" s="16" t="str">
        <f t="shared" ca="1" si="47"/>
        <v/>
      </c>
      <c r="AQ20" s="39" t="str">
        <f t="shared" ca="1" si="47"/>
        <v/>
      </c>
      <c r="AR20" s="38" t="str">
        <f t="shared" ca="1" si="47"/>
        <v/>
      </c>
      <c r="AS20" s="16" t="str">
        <f t="shared" ca="1" si="47"/>
        <v/>
      </c>
      <c r="AT20" s="16" t="str">
        <f t="shared" ca="1" si="47"/>
        <v/>
      </c>
      <c r="AU20" s="39" t="str">
        <f t="shared" ca="1" si="48"/>
        <v/>
      </c>
      <c r="AV20" s="38" t="str">
        <f t="shared" ca="1" si="48"/>
        <v/>
      </c>
      <c r="AW20" s="16" t="str">
        <f t="shared" ca="1" si="48"/>
        <v/>
      </c>
      <c r="AX20" s="16" t="str">
        <f t="shared" ca="1" si="48"/>
        <v/>
      </c>
      <c r="AY20" s="16" t="str">
        <f t="shared" ca="1" si="48"/>
        <v/>
      </c>
      <c r="AZ20" s="39" t="str">
        <f t="shared" ca="1" si="48"/>
        <v/>
      </c>
      <c r="BA20" s="39" t="str">
        <f t="shared" ca="1" si="48"/>
        <v/>
      </c>
      <c r="BB20" s="39" t="str">
        <f t="shared" ca="1" si="48"/>
        <v/>
      </c>
      <c r="BC20" s="39" t="str">
        <f t="shared" ca="1" si="48"/>
        <v/>
      </c>
      <c r="BD20" s="39" t="str">
        <f t="shared" ca="1" si="48"/>
        <v/>
      </c>
      <c r="BE20" s="39" t="str">
        <f t="shared" ca="1" si="49"/>
        <v/>
      </c>
      <c r="BF20" s="39" t="str">
        <f t="shared" ca="1" si="49"/>
        <v/>
      </c>
      <c r="BG20" s="39" t="str">
        <f t="shared" ca="1" si="49"/>
        <v/>
      </c>
      <c r="BH20" s="39" t="str">
        <f t="shared" ca="1" si="49"/>
        <v/>
      </c>
      <c r="BI20" s="39" t="str">
        <f t="shared" ca="1" si="49"/>
        <v/>
      </c>
      <c r="BJ20" s="39" t="str">
        <f t="shared" ca="1" si="49"/>
        <v/>
      </c>
      <c r="BK20" s="39" t="str">
        <f t="shared" ca="1" si="49"/>
        <v/>
      </c>
      <c r="BL20" s="39" t="str">
        <f t="shared" ca="1" si="49"/>
        <v/>
      </c>
      <c r="BM20" s="39" t="str">
        <f t="shared" ca="1" si="49"/>
        <v/>
      </c>
      <c r="BN20" s="39" t="str">
        <f t="shared" ca="1" si="49"/>
        <v/>
      </c>
      <c r="BO20" s="39" t="str">
        <f t="shared" ca="1" si="50"/>
        <v/>
      </c>
      <c r="BP20" s="39" t="str">
        <f t="shared" ca="1" si="50"/>
        <v/>
      </c>
      <c r="BQ20" s="39" t="str">
        <f t="shared" ca="1" si="50"/>
        <v/>
      </c>
      <c r="BR20" s="39" t="str">
        <f t="shared" ca="1" si="50"/>
        <v/>
      </c>
      <c r="BS20" s="39" t="str">
        <f t="shared" ca="1" si="50"/>
        <v/>
      </c>
      <c r="BT20" s="39" t="str">
        <f t="shared" ca="1" si="50"/>
        <v/>
      </c>
      <c r="BU20" s="39" t="str">
        <f t="shared" ca="1" si="50"/>
        <v/>
      </c>
      <c r="BV20" s="39" t="str">
        <f t="shared" ca="1" si="50"/>
        <v/>
      </c>
      <c r="BW20" s="39" t="str">
        <f t="shared" ca="1" si="50"/>
        <v/>
      </c>
      <c r="BX20" s="39" t="str">
        <f t="shared" ca="1" si="50"/>
        <v/>
      </c>
      <c r="BY20" s="39" t="str">
        <f t="shared" ca="1" si="51"/>
        <v>X</v>
      </c>
      <c r="BZ20" s="39" t="str">
        <f t="shared" ca="1" si="51"/>
        <v>X</v>
      </c>
      <c r="CA20" s="39" t="str">
        <f t="shared" ca="1" si="51"/>
        <v>X</v>
      </c>
      <c r="CB20" s="39" t="str">
        <f t="shared" ca="1" si="51"/>
        <v>X</v>
      </c>
      <c r="CC20" s="39" t="str">
        <f t="shared" ca="1" si="51"/>
        <v/>
      </c>
      <c r="CD20" s="39" t="str">
        <f t="shared" ca="1" si="51"/>
        <v/>
      </c>
      <c r="CE20" s="39" t="str">
        <f t="shared" ca="1" si="51"/>
        <v/>
      </c>
      <c r="CF20" s="39" t="str">
        <f t="shared" ca="1" si="51"/>
        <v/>
      </c>
      <c r="CG20" s="39" t="str">
        <f t="shared" ca="1" si="51"/>
        <v/>
      </c>
      <c r="CH20" s="39" t="str">
        <f t="shared" ca="1" si="51"/>
        <v/>
      </c>
      <c r="CI20" s="39" t="str">
        <f t="shared" ca="1" si="51"/>
        <v/>
      </c>
      <c r="CJ20" s="39" t="str">
        <f t="shared" ca="1" si="51"/>
        <v/>
      </c>
      <c r="CK20" s="39" t="str">
        <f t="shared" ca="1" si="51"/>
        <v/>
      </c>
      <c r="CL20" t="str">
        <f ca="1"/>
        <v/>
      </c>
    </row>
    <row r="21" spans="1:90" ht="18.75" customHeight="1">
      <c r="A21" s="30" t="s">
        <v>130</v>
      </c>
      <c r="B21" s="18" t="s">
        <v>7</v>
      </c>
      <c r="C21" s="28"/>
      <c r="D21" s="10" t="s">
        <v>107</v>
      </c>
      <c r="E21" s="22"/>
      <c r="F21" s="20"/>
      <c r="G21" s="20"/>
      <c r="H21" s="20"/>
      <c r="I21" s="23"/>
      <c r="J21" s="18">
        <v>4</v>
      </c>
      <c r="K21" s="24"/>
      <c r="L21" s="29" t="s">
        <v>156</v>
      </c>
      <c r="Q21" s="6">
        <f ca="1"/>
        <v>4</v>
      </c>
      <c r="R21" s="11" vm="20">
        <f ca="1"/>
        <v>46665</v>
      </c>
      <c r="S21" s="11" vm="25">
        <f ca="1"/>
        <v>46693</v>
      </c>
      <c r="T21" s="17">
        <f ca="1"/>
        <v>50</v>
      </c>
      <c r="U21" s="17">
        <f ca="1"/>
        <v>54</v>
      </c>
      <c r="V21" s="17">
        <f ca="1"/>
        <v>50</v>
      </c>
      <c r="W21" s="17">
        <f ca="1"/>
        <v>54</v>
      </c>
      <c r="X21" s="17">
        <f ca="1"/>
        <v>0</v>
      </c>
      <c r="Y21" s="17">
        <f ca="1"/>
        <v>0</v>
      </c>
      <c r="Z21" s="33" t="b">
        <f ca="1"/>
        <v>1</v>
      </c>
      <c r="AA21" s="38" t="str">
        <f t="shared" ca="1" si="46"/>
        <v/>
      </c>
      <c r="AB21" s="16" t="str">
        <f t="shared" ca="1" si="46"/>
        <v/>
      </c>
      <c r="AC21" s="16" t="str">
        <f t="shared" ca="1" si="46"/>
        <v/>
      </c>
      <c r="AD21" s="39" t="str">
        <f t="shared" ca="1" si="46"/>
        <v/>
      </c>
      <c r="AE21" s="38" t="str">
        <f t="shared" ca="1" si="46"/>
        <v/>
      </c>
      <c r="AF21" s="16" t="str">
        <f t="shared" ca="1" si="46"/>
        <v/>
      </c>
      <c r="AG21" s="16" t="str">
        <f t="shared" ca="1" si="46"/>
        <v/>
      </c>
      <c r="AH21" s="39" t="str">
        <f t="shared" ca="1" si="46"/>
        <v/>
      </c>
      <c r="AI21" s="38" t="str">
        <f t="shared" ca="1" si="46"/>
        <v/>
      </c>
      <c r="AJ21" s="16" t="str">
        <f t="shared" ca="1" si="46"/>
        <v/>
      </c>
      <c r="AK21" s="46" t="str">
        <f t="shared" ca="1" si="47"/>
        <v/>
      </c>
      <c r="AL21" s="52" t="str">
        <f t="shared" ca="1" si="47"/>
        <v/>
      </c>
      <c r="AM21" s="49" t="str">
        <f t="shared" ca="1" si="47"/>
        <v/>
      </c>
      <c r="AN21" s="34" t="str">
        <f t="shared" ca="1" si="47"/>
        <v/>
      </c>
      <c r="AO21" s="16" t="str">
        <f t="shared" ca="1" si="47"/>
        <v/>
      </c>
      <c r="AP21" s="16" t="str">
        <f t="shared" ca="1" si="47"/>
        <v/>
      </c>
      <c r="AQ21" s="39" t="str">
        <f t="shared" ca="1" si="47"/>
        <v/>
      </c>
      <c r="AR21" s="38" t="str">
        <f t="shared" ca="1" si="47"/>
        <v/>
      </c>
      <c r="AS21" s="16" t="str">
        <f t="shared" ca="1" si="47"/>
        <v/>
      </c>
      <c r="AT21" s="16" t="str">
        <f t="shared" ca="1" si="47"/>
        <v/>
      </c>
      <c r="AU21" s="39" t="str">
        <f t="shared" ca="1" si="48"/>
        <v/>
      </c>
      <c r="AV21" s="38" t="str">
        <f t="shared" ca="1" si="48"/>
        <v/>
      </c>
      <c r="AW21" s="16" t="str">
        <f t="shared" ca="1" si="48"/>
        <v/>
      </c>
      <c r="AX21" s="16" t="str">
        <f t="shared" ca="1" si="48"/>
        <v/>
      </c>
      <c r="AY21" s="16" t="str">
        <f t="shared" ca="1" si="48"/>
        <v/>
      </c>
      <c r="AZ21" s="39" t="str">
        <f t="shared" ca="1" si="48"/>
        <v/>
      </c>
      <c r="BA21" s="39" t="str">
        <f t="shared" ca="1" si="48"/>
        <v/>
      </c>
      <c r="BB21" s="39" t="str">
        <f t="shared" ca="1" si="48"/>
        <v/>
      </c>
      <c r="BC21" s="39" t="str">
        <f t="shared" ca="1" si="48"/>
        <v/>
      </c>
      <c r="BD21" s="39" t="str">
        <f t="shared" ca="1" si="48"/>
        <v/>
      </c>
      <c r="BE21" s="39" t="str">
        <f t="shared" ca="1" si="49"/>
        <v/>
      </c>
      <c r="BF21" s="39" t="str">
        <f t="shared" ca="1" si="49"/>
        <v/>
      </c>
      <c r="BG21" s="39" t="str">
        <f t="shared" ca="1" si="49"/>
        <v/>
      </c>
      <c r="BH21" s="39" t="str">
        <f t="shared" ca="1" si="49"/>
        <v/>
      </c>
      <c r="BI21" s="39" t="str">
        <f t="shared" ca="1" si="49"/>
        <v/>
      </c>
      <c r="BJ21" s="39" t="str">
        <f t="shared" ca="1" si="49"/>
        <v/>
      </c>
      <c r="BK21" s="39" t="str">
        <f t="shared" ca="1" si="49"/>
        <v/>
      </c>
      <c r="BL21" s="39" t="str">
        <f t="shared" ca="1" si="49"/>
        <v/>
      </c>
      <c r="BM21" s="39" t="str">
        <f t="shared" ca="1" si="49"/>
        <v/>
      </c>
      <c r="BN21" s="39" t="str">
        <f t="shared" ca="1" si="49"/>
        <v/>
      </c>
      <c r="BO21" s="39" t="str">
        <f t="shared" ca="1" si="50"/>
        <v/>
      </c>
      <c r="BP21" s="39" t="str">
        <f t="shared" ca="1" si="50"/>
        <v/>
      </c>
      <c r="BQ21" s="39" t="str">
        <f t="shared" ca="1" si="50"/>
        <v/>
      </c>
      <c r="BR21" s="39" t="str">
        <f t="shared" ca="1" si="50"/>
        <v/>
      </c>
      <c r="BS21" s="39" t="str">
        <f t="shared" ca="1" si="50"/>
        <v/>
      </c>
      <c r="BT21" s="39" t="str">
        <f t="shared" ca="1" si="50"/>
        <v/>
      </c>
      <c r="BU21" s="39" t="str">
        <f t="shared" ca="1" si="50"/>
        <v/>
      </c>
      <c r="BV21" s="39" t="str">
        <f t="shared" ca="1" si="50"/>
        <v/>
      </c>
      <c r="BW21" s="39" t="str">
        <f t="shared" ca="1" si="50"/>
        <v/>
      </c>
      <c r="BX21" s="39" t="str">
        <f t="shared" ca="1" si="50"/>
        <v/>
      </c>
      <c r="BY21" s="39" t="str">
        <f t="shared" ca="1" si="51"/>
        <v>X</v>
      </c>
      <c r="BZ21" s="39" t="str">
        <f t="shared" ca="1" si="51"/>
        <v>X</v>
      </c>
      <c r="CA21" s="39" t="str">
        <f t="shared" ca="1" si="51"/>
        <v>X</v>
      </c>
      <c r="CB21" s="39" t="str">
        <f t="shared" ca="1" si="51"/>
        <v>X</v>
      </c>
      <c r="CC21" s="39" t="str">
        <f t="shared" ca="1" si="51"/>
        <v/>
      </c>
      <c r="CD21" s="39" t="str">
        <f t="shared" ca="1" si="51"/>
        <v/>
      </c>
      <c r="CE21" s="39" t="str">
        <f t="shared" ca="1" si="51"/>
        <v/>
      </c>
      <c r="CF21" s="39" t="str">
        <f t="shared" ca="1" si="51"/>
        <v/>
      </c>
      <c r="CG21" s="39" t="str">
        <f t="shared" ca="1" si="51"/>
        <v/>
      </c>
      <c r="CH21" s="39" t="str">
        <f t="shared" ca="1" si="51"/>
        <v/>
      </c>
      <c r="CI21" s="39" t="str">
        <f t="shared" ca="1" si="51"/>
        <v/>
      </c>
      <c r="CJ21" s="39" t="str">
        <f t="shared" ca="1" si="51"/>
        <v/>
      </c>
      <c r="CK21" s="39" t="str">
        <f t="shared" ca="1" si="51"/>
        <v/>
      </c>
      <c r="CL21" t="str">
        <f ca="1"/>
        <v/>
      </c>
    </row>
    <row r="22" spans="1:90" ht="18.75" customHeight="1">
      <c r="A22" s="30" t="s">
        <v>131</v>
      </c>
      <c r="B22" s="18" t="s">
        <v>7</v>
      </c>
      <c r="C22" s="28"/>
      <c r="D22" s="10" t="s">
        <v>108</v>
      </c>
      <c r="E22" s="22"/>
      <c r="F22" s="20"/>
      <c r="G22" s="20"/>
      <c r="H22" s="20"/>
      <c r="I22" s="23"/>
      <c r="J22" s="18">
        <v>4</v>
      </c>
      <c r="K22" s="24"/>
      <c r="L22" s="29" t="s">
        <v>149</v>
      </c>
      <c r="Q22" s="6">
        <f ca="1"/>
        <v>4</v>
      </c>
      <c r="R22" s="11" vm="25">
        <f ca="1"/>
        <v>46693</v>
      </c>
      <c r="S22" s="11" vm="26">
        <f ca="1"/>
        <v>46721</v>
      </c>
      <c r="T22" s="17">
        <f ca="1"/>
        <v>54</v>
      </c>
      <c r="U22" s="17">
        <f ca="1"/>
        <v>58</v>
      </c>
      <c r="V22" s="17">
        <f ca="1"/>
        <v>54</v>
      </c>
      <c r="W22" s="17">
        <f ca="1"/>
        <v>58</v>
      </c>
      <c r="X22" s="17">
        <f ca="1"/>
        <v>0</v>
      </c>
      <c r="Y22" s="17">
        <f ca="1"/>
        <v>0</v>
      </c>
      <c r="Z22" s="33" t="b">
        <f ca="1"/>
        <v>1</v>
      </c>
      <c r="AA22" s="38" t="str">
        <f t="shared" ca="1" si="46"/>
        <v/>
      </c>
      <c r="AB22" s="16" t="str">
        <f t="shared" ca="1" si="46"/>
        <v/>
      </c>
      <c r="AC22" s="16" t="str">
        <f t="shared" ca="1" si="46"/>
        <v/>
      </c>
      <c r="AD22" s="39" t="str">
        <f t="shared" ca="1" si="46"/>
        <v/>
      </c>
      <c r="AE22" s="38" t="str">
        <f t="shared" ca="1" si="46"/>
        <v/>
      </c>
      <c r="AF22" s="16" t="str">
        <f t="shared" ca="1" si="46"/>
        <v/>
      </c>
      <c r="AG22" s="16" t="str">
        <f t="shared" ca="1" si="46"/>
        <v/>
      </c>
      <c r="AH22" s="39" t="str">
        <f t="shared" ca="1" si="46"/>
        <v/>
      </c>
      <c r="AI22" s="38" t="str">
        <f t="shared" ca="1" si="46"/>
        <v/>
      </c>
      <c r="AJ22" s="16" t="str">
        <f t="shared" ca="1" si="46"/>
        <v/>
      </c>
      <c r="AK22" s="46" t="str">
        <f t="shared" ca="1" si="47"/>
        <v/>
      </c>
      <c r="AL22" s="52" t="str">
        <f t="shared" ca="1" si="47"/>
        <v/>
      </c>
      <c r="AM22" s="49" t="str">
        <f t="shared" ca="1" si="47"/>
        <v/>
      </c>
      <c r="AN22" s="34" t="str">
        <f t="shared" ca="1" si="47"/>
        <v/>
      </c>
      <c r="AO22" s="16" t="str">
        <f t="shared" ca="1" si="47"/>
        <v/>
      </c>
      <c r="AP22" s="16" t="str">
        <f t="shared" ca="1" si="47"/>
        <v/>
      </c>
      <c r="AQ22" s="39" t="str">
        <f t="shared" ca="1" si="47"/>
        <v/>
      </c>
      <c r="AR22" s="38" t="str">
        <f t="shared" ca="1" si="47"/>
        <v/>
      </c>
      <c r="AS22" s="16" t="str">
        <f t="shared" ca="1" si="47"/>
        <v/>
      </c>
      <c r="AT22" s="16" t="str">
        <f t="shared" ca="1" si="47"/>
        <v/>
      </c>
      <c r="AU22" s="39" t="str">
        <f t="shared" ca="1" si="48"/>
        <v/>
      </c>
      <c r="AV22" s="38" t="str">
        <f t="shared" ca="1" si="48"/>
        <v/>
      </c>
      <c r="AW22" s="16" t="str">
        <f t="shared" ca="1" si="48"/>
        <v/>
      </c>
      <c r="AX22" s="16" t="str">
        <f t="shared" ca="1" si="48"/>
        <v/>
      </c>
      <c r="AY22" s="16" t="str">
        <f t="shared" ca="1" si="48"/>
        <v/>
      </c>
      <c r="AZ22" s="39" t="str">
        <f t="shared" ca="1" si="48"/>
        <v/>
      </c>
      <c r="BA22" s="39" t="str">
        <f t="shared" ca="1" si="48"/>
        <v/>
      </c>
      <c r="BB22" s="39" t="str">
        <f t="shared" ca="1" si="48"/>
        <v/>
      </c>
      <c r="BC22" s="39" t="str">
        <f t="shared" ca="1" si="48"/>
        <v/>
      </c>
      <c r="BD22" s="39" t="str">
        <f t="shared" ca="1" si="48"/>
        <v/>
      </c>
      <c r="BE22" s="39" t="str">
        <f t="shared" ca="1" si="49"/>
        <v/>
      </c>
      <c r="BF22" s="39" t="str">
        <f t="shared" ca="1" si="49"/>
        <v/>
      </c>
      <c r="BG22" s="39" t="str">
        <f t="shared" ca="1" si="49"/>
        <v/>
      </c>
      <c r="BH22" s="39" t="str">
        <f t="shared" ca="1" si="49"/>
        <v/>
      </c>
      <c r="BI22" s="39" t="str">
        <f t="shared" ca="1" si="49"/>
        <v/>
      </c>
      <c r="BJ22" s="39" t="str">
        <f t="shared" ca="1" si="49"/>
        <v/>
      </c>
      <c r="BK22" s="39" t="str">
        <f t="shared" ca="1" si="49"/>
        <v/>
      </c>
      <c r="BL22" s="39" t="str">
        <f t="shared" ca="1" si="49"/>
        <v/>
      </c>
      <c r="BM22" s="39" t="str">
        <f t="shared" ca="1" si="49"/>
        <v/>
      </c>
      <c r="BN22" s="39" t="str">
        <f t="shared" ca="1" si="49"/>
        <v/>
      </c>
      <c r="BO22" s="39" t="str">
        <f t="shared" ca="1" si="50"/>
        <v/>
      </c>
      <c r="BP22" s="39" t="str">
        <f t="shared" ca="1" si="50"/>
        <v/>
      </c>
      <c r="BQ22" s="39" t="str">
        <f t="shared" ca="1" si="50"/>
        <v/>
      </c>
      <c r="BR22" s="39" t="str">
        <f t="shared" ca="1" si="50"/>
        <v/>
      </c>
      <c r="BS22" s="39" t="str">
        <f t="shared" ca="1" si="50"/>
        <v/>
      </c>
      <c r="BT22" s="39" t="str">
        <f t="shared" ca="1" si="50"/>
        <v/>
      </c>
      <c r="BU22" s="39" t="str">
        <f t="shared" ca="1" si="50"/>
        <v/>
      </c>
      <c r="BV22" s="39" t="str">
        <f t="shared" ca="1" si="50"/>
        <v/>
      </c>
      <c r="BW22" s="39" t="str">
        <f t="shared" ca="1" si="50"/>
        <v/>
      </c>
      <c r="BX22" s="39" t="str">
        <f t="shared" ca="1" si="50"/>
        <v/>
      </c>
      <c r="BY22" s="39" t="str">
        <f t="shared" ca="1" si="51"/>
        <v/>
      </c>
      <c r="BZ22" s="39" t="str">
        <f t="shared" ca="1" si="51"/>
        <v/>
      </c>
      <c r="CA22" s="39" t="str">
        <f t="shared" ca="1" si="51"/>
        <v/>
      </c>
      <c r="CB22" s="39" t="str">
        <f t="shared" ca="1" si="51"/>
        <v/>
      </c>
      <c r="CC22" s="39" t="str">
        <f t="shared" ca="1" si="51"/>
        <v>X</v>
      </c>
      <c r="CD22" s="39" t="str">
        <f t="shared" ca="1" si="51"/>
        <v>X</v>
      </c>
      <c r="CE22" s="39" t="str">
        <f t="shared" ca="1" si="51"/>
        <v>X</v>
      </c>
      <c r="CF22" s="39" t="str">
        <f t="shared" ca="1" si="51"/>
        <v>X</v>
      </c>
      <c r="CG22" s="39" t="str">
        <f t="shared" ca="1" si="51"/>
        <v/>
      </c>
      <c r="CH22" s="39" t="str">
        <f t="shared" ca="1" si="51"/>
        <v/>
      </c>
      <c r="CI22" s="39" t="str">
        <f t="shared" ca="1" si="51"/>
        <v/>
      </c>
      <c r="CJ22" s="39" t="str">
        <f t="shared" ca="1" si="51"/>
        <v/>
      </c>
      <c r="CK22" s="39" t="str">
        <f t="shared" ca="1" si="51"/>
        <v/>
      </c>
      <c r="CL22" t="str">
        <f ca="1"/>
        <v/>
      </c>
    </row>
    <row r="23" spans="1:90" ht="18.75" customHeight="1">
      <c r="A23" s="30" t="s">
        <v>132</v>
      </c>
      <c r="B23" s="18" t="s">
        <v>7</v>
      </c>
      <c r="C23" s="28"/>
      <c r="D23" s="10" t="s">
        <v>109</v>
      </c>
      <c r="E23" s="22"/>
      <c r="F23" s="20"/>
      <c r="G23" s="20"/>
      <c r="H23" s="20"/>
      <c r="I23" s="23"/>
      <c r="J23" s="18">
        <v>1</v>
      </c>
      <c r="K23" s="24"/>
      <c r="L23" s="28" t="s">
        <v>150</v>
      </c>
      <c r="Q23" s="6">
        <f ca="1"/>
        <v>1</v>
      </c>
      <c r="R23" s="11" vm="26">
        <f ca="1"/>
        <v>46721</v>
      </c>
      <c r="S23" s="11" vm="27">
        <f ca="1"/>
        <v>46728</v>
      </c>
      <c r="T23" s="17">
        <f ca="1"/>
        <v>58</v>
      </c>
      <c r="U23" s="17">
        <f ca="1"/>
        <v>59</v>
      </c>
      <c r="V23" s="17">
        <f ca="1"/>
        <v>58</v>
      </c>
      <c r="W23" s="17">
        <f ca="1"/>
        <v>59</v>
      </c>
      <c r="X23" s="17">
        <f ca="1"/>
        <v>0</v>
      </c>
      <c r="Y23" s="17">
        <f ca="1"/>
        <v>0</v>
      </c>
      <c r="Z23" s="33" t="b">
        <f ca="1"/>
        <v>1</v>
      </c>
      <c r="AA23" s="38" t="str">
        <f t="shared" ref="AA23:AJ32" ca="1" si="52">IF($A23="","",IF($B23="Milestone",IF(AND(AA$1&lt;=$R23,AA$1+7&gt;$R23),"◆",""),IF(AND(AA$1&lt;$S23,AA$1+7&gt;$R23),IF($B23="Summary","=",IF($B23="Activity",IF($Z23=TRUE,"X","O"),"")),"")))</f>
        <v/>
      </c>
      <c r="AB23" s="16" t="str">
        <f t="shared" ca="1" si="52"/>
        <v/>
      </c>
      <c r="AC23" s="16" t="str">
        <f t="shared" ca="1" si="52"/>
        <v/>
      </c>
      <c r="AD23" s="39" t="str">
        <f t="shared" ca="1" si="52"/>
        <v/>
      </c>
      <c r="AE23" s="38" t="str">
        <f t="shared" ca="1" si="52"/>
        <v/>
      </c>
      <c r="AF23" s="16" t="str">
        <f t="shared" ca="1" si="52"/>
        <v/>
      </c>
      <c r="AG23" s="16" t="str">
        <f t="shared" ca="1" si="52"/>
        <v/>
      </c>
      <c r="AH23" s="39" t="str">
        <f t="shared" ca="1" si="52"/>
        <v/>
      </c>
      <c r="AI23" s="38" t="str">
        <f t="shared" ca="1" si="52"/>
        <v/>
      </c>
      <c r="AJ23" s="16" t="str">
        <f t="shared" ca="1" si="52"/>
        <v/>
      </c>
      <c r="AK23" s="46" t="str">
        <f t="shared" ref="AK23:AT32" ca="1" si="53">IF($A23="","",IF($B23="Milestone",IF(AND(AK$1&lt;=$R23,AK$1+7&gt;$R23),"◆",""),IF(AND(AK$1&lt;$S23,AK$1+7&gt;$R23),IF($B23="Summary","=",IF($B23="Activity",IF($Z23=TRUE,"X","O"),"")),"")))</f>
        <v/>
      </c>
      <c r="AL23" s="52" t="str">
        <f t="shared" ca="1" si="53"/>
        <v/>
      </c>
      <c r="AM23" s="49" t="str">
        <f t="shared" ca="1" si="53"/>
        <v/>
      </c>
      <c r="AN23" s="34" t="str">
        <f t="shared" ca="1" si="53"/>
        <v/>
      </c>
      <c r="AO23" s="16" t="str">
        <f t="shared" ca="1" si="53"/>
        <v/>
      </c>
      <c r="AP23" s="16" t="str">
        <f t="shared" ca="1" si="53"/>
        <v/>
      </c>
      <c r="AQ23" s="39" t="str">
        <f t="shared" ca="1" si="53"/>
        <v/>
      </c>
      <c r="AR23" s="38" t="str">
        <f t="shared" ca="1" si="53"/>
        <v/>
      </c>
      <c r="AS23" s="16" t="str">
        <f t="shared" ca="1" si="53"/>
        <v/>
      </c>
      <c r="AT23" s="16" t="str">
        <f t="shared" ca="1" si="53"/>
        <v/>
      </c>
      <c r="AU23" s="39" t="str">
        <f t="shared" ref="AU23:BD32" ca="1" si="54">IF($A23="","",IF($B23="Milestone",IF(AND(AU$1&lt;=$R23,AU$1+7&gt;$R23),"◆",""),IF(AND(AU$1&lt;$S23,AU$1+7&gt;$R23),IF($B23="Summary","=",IF($B23="Activity",IF($Z23=TRUE,"X","O"),"")),"")))</f>
        <v/>
      </c>
      <c r="AV23" s="38" t="str">
        <f t="shared" ca="1" si="54"/>
        <v/>
      </c>
      <c r="AW23" s="16" t="str">
        <f t="shared" ca="1" si="54"/>
        <v/>
      </c>
      <c r="AX23" s="16" t="str">
        <f t="shared" ca="1" si="54"/>
        <v/>
      </c>
      <c r="AY23" s="16" t="str">
        <f t="shared" ca="1" si="54"/>
        <v/>
      </c>
      <c r="AZ23" s="39" t="str">
        <f t="shared" ca="1" si="54"/>
        <v/>
      </c>
      <c r="BA23" s="39" t="str">
        <f t="shared" ca="1" si="54"/>
        <v/>
      </c>
      <c r="BB23" s="39" t="str">
        <f t="shared" ca="1" si="54"/>
        <v/>
      </c>
      <c r="BC23" s="39" t="str">
        <f t="shared" ca="1" si="54"/>
        <v/>
      </c>
      <c r="BD23" s="39" t="str">
        <f t="shared" ca="1" si="54"/>
        <v/>
      </c>
      <c r="BE23" s="39" t="str">
        <f t="shared" ref="BE23:BN32" ca="1" si="55">IF($A23="","",IF($B23="Milestone",IF(AND(BE$1&lt;=$R23,BE$1+7&gt;$R23),"◆",""),IF(AND(BE$1&lt;$S23,BE$1+7&gt;$R23),IF($B23="Summary","=",IF($B23="Activity",IF($Z23=TRUE,"X","O"),"")),"")))</f>
        <v/>
      </c>
      <c r="BF23" s="39" t="str">
        <f t="shared" ca="1" si="55"/>
        <v/>
      </c>
      <c r="BG23" s="39" t="str">
        <f t="shared" ca="1" si="55"/>
        <v/>
      </c>
      <c r="BH23" s="39" t="str">
        <f t="shared" ca="1" si="55"/>
        <v/>
      </c>
      <c r="BI23" s="39" t="str">
        <f t="shared" ca="1" si="55"/>
        <v/>
      </c>
      <c r="BJ23" s="39" t="str">
        <f t="shared" ca="1" si="55"/>
        <v/>
      </c>
      <c r="BK23" s="39" t="str">
        <f t="shared" ca="1" si="55"/>
        <v/>
      </c>
      <c r="BL23" s="39" t="str">
        <f t="shared" ca="1" si="55"/>
        <v/>
      </c>
      <c r="BM23" s="39" t="str">
        <f t="shared" ca="1" si="55"/>
        <v/>
      </c>
      <c r="BN23" s="39" t="str">
        <f t="shared" ca="1" si="55"/>
        <v/>
      </c>
      <c r="BO23" s="39" t="str">
        <f t="shared" ref="BO23:BX32" ca="1" si="56">IF($A23="","",IF($B23="Milestone",IF(AND(BO$1&lt;=$R23,BO$1+7&gt;$R23),"◆",""),IF(AND(BO$1&lt;$S23,BO$1+7&gt;$R23),IF($B23="Summary","=",IF($B23="Activity",IF($Z23=TRUE,"X","O"),"")),"")))</f>
        <v/>
      </c>
      <c r="BP23" s="39" t="str">
        <f t="shared" ca="1" si="56"/>
        <v/>
      </c>
      <c r="BQ23" s="39" t="str">
        <f t="shared" ca="1" si="56"/>
        <v/>
      </c>
      <c r="BR23" s="39" t="str">
        <f t="shared" ca="1" si="56"/>
        <v/>
      </c>
      <c r="BS23" s="39" t="str">
        <f t="shared" ca="1" si="56"/>
        <v/>
      </c>
      <c r="BT23" s="39" t="str">
        <f t="shared" ca="1" si="56"/>
        <v/>
      </c>
      <c r="BU23" s="39" t="str">
        <f t="shared" ca="1" si="56"/>
        <v/>
      </c>
      <c r="BV23" s="39" t="str">
        <f t="shared" ca="1" si="56"/>
        <v/>
      </c>
      <c r="BW23" s="39" t="str">
        <f t="shared" ca="1" si="56"/>
        <v/>
      </c>
      <c r="BX23" s="39" t="str">
        <f t="shared" ca="1" si="56"/>
        <v/>
      </c>
      <c r="BY23" s="39" t="str">
        <f t="shared" ref="BY23:CK32" ca="1" si="57">IF($A23="","",IF($B23="Milestone",IF(AND(BY$1&lt;=$R23,BY$1+7&gt;$R23),"◆",""),IF(AND(BY$1&lt;$S23,BY$1+7&gt;$R23),IF($B23="Summary","=",IF($B23="Activity",IF($Z23=TRUE,"X","O"),"")),"")))</f>
        <v/>
      </c>
      <c r="BZ23" s="39" t="str">
        <f t="shared" ca="1" si="57"/>
        <v/>
      </c>
      <c r="CA23" s="39" t="str">
        <f t="shared" ca="1" si="57"/>
        <v/>
      </c>
      <c r="CB23" s="39" t="str">
        <f t="shared" ca="1" si="57"/>
        <v/>
      </c>
      <c r="CC23" s="39" t="str">
        <f t="shared" ca="1" si="57"/>
        <v/>
      </c>
      <c r="CD23" s="39" t="str">
        <f t="shared" ca="1" si="57"/>
        <v/>
      </c>
      <c r="CE23" s="39" t="str">
        <f t="shared" ca="1" si="57"/>
        <v/>
      </c>
      <c r="CF23" s="39" t="str">
        <f t="shared" ca="1" si="57"/>
        <v/>
      </c>
      <c r="CG23" s="39" t="str">
        <f t="shared" ca="1" si="57"/>
        <v>X</v>
      </c>
      <c r="CH23" s="39" t="str">
        <f t="shared" ca="1" si="57"/>
        <v/>
      </c>
      <c r="CI23" s="39" t="str">
        <f t="shared" ca="1" si="57"/>
        <v/>
      </c>
      <c r="CJ23" s="39" t="str">
        <f t="shared" ca="1" si="57"/>
        <v/>
      </c>
      <c r="CK23" s="39" t="str">
        <f t="shared" ca="1" si="57"/>
        <v/>
      </c>
      <c r="CL23" t="str">
        <f ca="1"/>
        <v/>
      </c>
    </row>
    <row r="24" spans="1:90" ht="18.75" customHeight="1">
      <c r="A24" s="30" t="s">
        <v>133</v>
      </c>
      <c r="B24" s="18" t="s">
        <v>7</v>
      </c>
      <c r="C24" s="28"/>
      <c r="D24" s="10" t="s">
        <v>110</v>
      </c>
      <c r="E24" s="22"/>
      <c r="F24" s="20"/>
      <c r="G24" s="20"/>
      <c r="H24" s="20"/>
      <c r="I24" s="23"/>
      <c r="J24" s="18">
        <v>1</v>
      </c>
      <c r="K24" s="24"/>
      <c r="L24" s="20" t="s">
        <v>151</v>
      </c>
      <c r="Q24" s="6">
        <f ca="1"/>
        <v>1</v>
      </c>
      <c r="R24" s="11" vm="27">
        <f ca="1"/>
        <v>46728</v>
      </c>
      <c r="S24" s="11" vm="7">
        <f ca="1"/>
        <v>46735</v>
      </c>
      <c r="T24" s="17">
        <f ca="1"/>
        <v>59</v>
      </c>
      <c r="U24" s="17">
        <f ca="1"/>
        <v>60</v>
      </c>
      <c r="V24" s="17">
        <f ca="1"/>
        <v>59</v>
      </c>
      <c r="W24" s="17">
        <f ca="1"/>
        <v>60</v>
      </c>
      <c r="X24" s="17">
        <f ca="1"/>
        <v>0</v>
      </c>
      <c r="Y24" s="17">
        <f ca="1"/>
        <v>0</v>
      </c>
      <c r="Z24" s="33" t="b">
        <f ca="1"/>
        <v>1</v>
      </c>
      <c r="AA24" s="38" t="str">
        <f t="shared" ca="1" si="52"/>
        <v/>
      </c>
      <c r="AB24" s="16" t="str">
        <f t="shared" ca="1" si="52"/>
        <v/>
      </c>
      <c r="AC24" s="16" t="str">
        <f t="shared" ca="1" si="52"/>
        <v/>
      </c>
      <c r="AD24" s="39" t="str">
        <f t="shared" ca="1" si="52"/>
        <v/>
      </c>
      <c r="AE24" s="38" t="str">
        <f t="shared" ca="1" si="52"/>
        <v/>
      </c>
      <c r="AF24" s="16" t="str">
        <f t="shared" ca="1" si="52"/>
        <v/>
      </c>
      <c r="AG24" s="16" t="str">
        <f t="shared" ca="1" si="52"/>
        <v/>
      </c>
      <c r="AH24" s="39" t="str">
        <f t="shared" ca="1" si="52"/>
        <v/>
      </c>
      <c r="AI24" s="38" t="str">
        <f t="shared" ca="1" si="52"/>
        <v/>
      </c>
      <c r="AJ24" s="16" t="str">
        <f t="shared" ca="1" si="52"/>
        <v/>
      </c>
      <c r="AK24" s="46" t="str">
        <f t="shared" ca="1" si="53"/>
        <v/>
      </c>
      <c r="AL24" s="52" t="str">
        <f t="shared" ca="1" si="53"/>
        <v/>
      </c>
      <c r="AM24" s="49" t="str">
        <f t="shared" ca="1" si="53"/>
        <v/>
      </c>
      <c r="AN24" s="34" t="str">
        <f t="shared" ca="1" si="53"/>
        <v/>
      </c>
      <c r="AO24" s="16" t="str">
        <f t="shared" ca="1" si="53"/>
        <v/>
      </c>
      <c r="AP24" s="16" t="str">
        <f t="shared" ca="1" si="53"/>
        <v/>
      </c>
      <c r="AQ24" s="39" t="str">
        <f t="shared" ca="1" si="53"/>
        <v/>
      </c>
      <c r="AR24" s="38" t="str">
        <f t="shared" ca="1" si="53"/>
        <v/>
      </c>
      <c r="AS24" s="16" t="str">
        <f t="shared" ca="1" si="53"/>
        <v/>
      </c>
      <c r="AT24" s="16" t="str">
        <f t="shared" ca="1" si="53"/>
        <v/>
      </c>
      <c r="AU24" s="39" t="str">
        <f t="shared" ca="1" si="54"/>
        <v/>
      </c>
      <c r="AV24" s="38" t="str">
        <f t="shared" ca="1" si="54"/>
        <v/>
      </c>
      <c r="AW24" s="16" t="str">
        <f t="shared" ca="1" si="54"/>
        <v/>
      </c>
      <c r="AX24" s="16" t="str">
        <f t="shared" ca="1" si="54"/>
        <v/>
      </c>
      <c r="AY24" s="16" t="str">
        <f t="shared" ca="1" si="54"/>
        <v/>
      </c>
      <c r="AZ24" s="39" t="str">
        <f t="shared" ca="1" si="54"/>
        <v/>
      </c>
      <c r="BA24" s="39" t="str">
        <f t="shared" ca="1" si="54"/>
        <v/>
      </c>
      <c r="BB24" s="39" t="str">
        <f t="shared" ca="1" si="54"/>
        <v/>
      </c>
      <c r="BC24" s="39" t="str">
        <f t="shared" ca="1" si="54"/>
        <v/>
      </c>
      <c r="BD24" s="39" t="str">
        <f t="shared" ca="1" si="54"/>
        <v/>
      </c>
      <c r="BE24" s="39" t="str">
        <f t="shared" ca="1" si="55"/>
        <v/>
      </c>
      <c r="BF24" s="39" t="str">
        <f t="shared" ca="1" si="55"/>
        <v/>
      </c>
      <c r="BG24" s="39" t="str">
        <f t="shared" ca="1" si="55"/>
        <v/>
      </c>
      <c r="BH24" s="39" t="str">
        <f t="shared" ca="1" si="55"/>
        <v/>
      </c>
      <c r="BI24" s="39" t="str">
        <f t="shared" ca="1" si="55"/>
        <v/>
      </c>
      <c r="BJ24" s="39" t="str">
        <f t="shared" ca="1" si="55"/>
        <v/>
      </c>
      <c r="BK24" s="39" t="str">
        <f t="shared" ca="1" si="55"/>
        <v/>
      </c>
      <c r="BL24" s="39" t="str">
        <f t="shared" ca="1" si="55"/>
        <v/>
      </c>
      <c r="BM24" s="39" t="str">
        <f t="shared" ca="1" si="55"/>
        <v/>
      </c>
      <c r="BN24" s="39" t="str">
        <f t="shared" ca="1" si="55"/>
        <v/>
      </c>
      <c r="BO24" s="39" t="str">
        <f t="shared" ca="1" si="56"/>
        <v/>
      </c>
      <c r="BP24" s="39" t="str">
        <f t="shared" ca="1" si="56"/>
        <v/>
      </c>
      <c r="BQ24" s="39" t="str">
        <f t="shared" ca="1" si="56"/>
        <v/>
      </c>
      <c r="BR24" s="39" t="str">
        <f t="shared" ca="1" si="56"/>
        <v/>
      </c>
      <c r="BS24" s="39" t="str">
        <f t="shared" ca="1" si="56"/>
        <v/>
      </c>
      <c r="BT24" s="39" t="str">
        <f t="shared" ca="1" si="56"/>
        <v/>
      </c>
      <c r="BU24" s="39" t="str">
        <f t="shared" ca="1" si="56"/>
        <v/>
      </c>
      <c r="BV24" s="39" t="str">
        <f t="shared" ca="1" si="56"/>
        <v/>
      </c>
      <c r="BW24" s="39" t="str">
        <f t="shared" ca="1" si="56"/>
        <v/>
      </c>
      <c r="BX24" s="39" t="str">
        <f t="shared" ca="1" si="56"/>
        <v/>
      </c>
      <c r="BY24" s="39" t="str">
        <f t="shared" ca="1" si="57"/>
        <v/>
      </c>
      <c r="BZ24" s="39" t="str">
        <f t="shared" ca="1" si="57"/>
        <v/>
      </c>
      <c r="CA24" s="39" t="str">
        <f t="shared" ca="1" si="57"/>
        <v/>
      </c>
      <c r="CB24" s="39" t="str">
        <f t="shared" ca="1" si="57"/>
        <v/>
      </c>
      <c r="CC24" s="39" t="str">
        <f t="shared" ca="1" si="57"/>
        <v/>
      </c>
      <c r="CD24" s="39" t="str">
        <f t="shared" ca="1" si="57"/>
        <v/>
      </c>
      <c r="CE24" s="39" t="str">
        <f t="shared" ca="1" si="57"/>
        <v/>
      </c>
      <c r="CF24" s="39" t="str">
        <f t="shared" ca="1" si="57"/>
        <v/>
      </c>
      <c r="CG24" s="39" t="str">
        <f t="shared" ca="1" si="57"/>
        <v/>
      </c>
      <c r="CH24" s="39" t="str">
        <f t="shared" ca="1" si="57"/>
        <v>X</v>
      </c>
      <c r="CI24" s="39" t="str">
        <f t="shared" ca="1" si="57"/>
        <v/>
      </c>
      <c r="CJ24" s="39" t="str">
        <f t="shared" ca="1" si="57"/>
        <v/>
      </c>
      <c r="CK24" s="39" t="str">
        <f t="shared" ca="1" si="57"/>
        <v/>
      </c>
      <c r="CL24" t="str">
        <f ca="1"/>
        <v/>
      </c>
    </row>
    <row r="25" spans="1:90" ht="18.75" customHeight="1">
      <c r="A25" s="30" t="s">
        <v>137</v>
      </c>
      <c r="B25" s="18" t="s">
        <v>9</v>
      </c>
      <c r="C25" s="28"/>
      <c r="D25" s="10" t="s">
        <v>138</v>
      </c>
      <c r="E25" s="22"/>
      <c r="F25" s="20"/>
      <c r="G25" s="20"/>
      <c r="H25" s="20"/>
      <c r="I25" s="23"/>
      <c r="J25" s="18">
        <v>0</v>
      </c>
      <c r="K25" s="24"/>
      <c r="L25" s="28" t="s">
        <v>152</v>
      </c>
      <c r="Q25" s="6">
        <f ca="1"/>
        <v>0</v>
      </c>
      <c r="R25" s="11" vm="7">
        <f ca="1"/>
        <v>46735</v>
      </c>
      <c r="S25" s="11" vm="7">
        <f ca="1"/>
        <v>46735</v>
      </c>
      <c r="T25" s="17">
        <f ca="1"/>
        <v>60</v>
      </c>
      <c r="U25" s="17">
        <f ca="1"/>
        <v>60</v>
      </c>
      <c r="V25" s="17">
        <f ca="1"/>
        <v>60</v>
      </c>
      <c r="W25" s="17">
        <f ca="1"/>
        <v>60</v>
      </c>
      <c r="X25" s="17">
        <f ca="1"/>
        <v>0</v>
      </c>
      <c r="Y25" s="17">
        <f ca="1"/>
        <v>0</v>
      </c>
      <c r="Z25" s="33" t="b">
        <f ca="1"/>
        <v>1</v>
      </c>
      <c r="AA25" s="38" t="str">
        <f t="shared" ca="1" si="52"/>
        <v/>
      </c>
      <c r="AB25" s="16" t="str">
        <f t="shared" ca="1" si="52"/>
        <v/>
      </c>
      <c r="AC25" s="16" t="str">
        <f t="shared" ca="1" si="52"/>
        <v/>
      </c>
      <c r="AD25" s="39" t="str">
        <f t="shared" ca="1" si="52"/>
        <v/>
      </c>
      <c r="AE25" s="38" t="str">
        <f t="shared" ca="1" si="52"/>
        <v/>
      </c>
      <c r="AF25" s="16" t="str">
        <f t="shared" ca="1" si="52"/>
        <v/>
      </c>
      <c r="AG25" s="16" t="str">
        <f t="shared" ca="1" si="52"/>
        <v/>
      </c>
      <c r="AH25" s="39" t="str">
        <f t="shared" ca="1" si="52"/>
        <v/>
      </c>
      <c r="AI25" s="38" t="str">
        <f t="shared" ca="1" si="52"/>
        <v/>
      </c>
      <c r="AJ25" s="16" t="str">
        <f t="shared" ca="1" si="52"/>
        <v/>
      </c>
      <c r="AK25" s="46" t="str">
        <f t="shared" ca="1" si="53"/>
        <v/>
      </c>
      <c r="AL25" s="52" t="str">
        <f t="shared" ca="1" si="53"/>
        <v/>
      </c>
      <c r="AM25" s="49" t="str">
        <f t="shared" ca="1" si="53"/>
        <v/>
      </c>
      <c r="AN25" s="34" t="str">
        <f t="shared" ca="1" si="53"/>
        <v/>
      </c>
      <c r="AO25" s="16" t="str">
        <f t="shared" ca="1" si="53"/>
        <v/>
      </c>
      <c r="AP25" s="16" t="str">
        <f t="shared" ca="1" si="53"/>
        <v/>
      </c>
      <c r="AQ25" s="39" t="str">
        <f t="shared" ca="1" si="53"/>
        <v/>
      </c>
      <c r="AR25" s="38" t="str">
        <f t="shared" ca="1" si="53"/>
        <v/>
      </c>
      <c r="AS25" s="16" t="str">
        <f t="shared" ca="1" si="53"/>
        <v/>
      </c>
      <c r="AT25" s="16" t="str">
        <f t="shared" ca="1" si="53"/>
        <v/>
      </c>
      <c r="AU25" s="39" t="str">
        <f t="shared" ca="1" si="54"/>
        <v/>
      </c>
      <c r="AV25" s="38" t="str">
        <f t="shared" ca="1" si="54"/>
        <v/>
      </c>
      <c r="AW25" s="16" t="str">
        <f t="shared" ca="1" si="54"/>
        <v/>
      </c>
      <c r="AX25" s="16" t="str">
        <f t="shared" ca="1" si="54"/>
        <v/>
      </c>
      <c r="AY25" s="16" t="str">
        <f t="shared" ca="1" si="54"/>
        <v/>
      </c>
      <c r="AZ25" s="39" t="str">
        <f t="shared" ca="1" si="54"/>
        <v/>
      </c>
      <c r="BA25" s="39" t="str">
        <f t="shared" ca="1" si="54"/>
        <v/>
      </c>
      <c r="BB25" s="39" t="str">
        <f t="shared" ca="1" si="54"/>
        <v/>
      </c>
      <c r="BC25" s="39" t="str">
        <f t="shared" ca="1" si="54"/>
        <v/>
      </c>
      <c r="BD25" s="39" t="str">
        <f t="shared" ca="1" si="54"/>
        <v/>
      </c>
      <c r="BE25" s="39" t="str">
        <f t="shared" ca="1" si="55"/>
        <v/>
      </c>
      <c r="BF25" s="39" t="str">
        <f t="shared" ca="1" si="55"/>
        <v/>
      </c>
      <c r="BG25" s="39" t="str">
        <f t="shared" ca="1" si="55"/>
        <v/>
      </c>
      <c r="BH25" s="39" t="str">
        <f t="shared" ca="1" si="55"/>
        <v/>
      </c>
      <c r="BI25" s="39" t="str">
        <f t="shared" ca="1" si="55"/>
        <v/>
      </c>
      <c r="BJ25" s="39" t="str">
        <f t="shared" ca="1" si="55"/>
        <v/>
      </c>
      <c r="BK25" s="39" t="str">
        <f t="shared" ca="1" si="55"/>
        <v/>
      </c>
      <c r="BL25" s="39" t="str">
        <f t="shared" ca="1" si="55"/>
        <v/>
      </c>
      <c r="BM25" s="39" t="str">
        <f t="shared" ca="1" si="55"/>
        <v/>
      </c>
      <c r="BN25" s="39" t="str">
        <f t="shared" ca="1" si="55"/>
        <v/>
      </c>
      <c r="BO25" s="39" t="str">
        <f t="shared" ca="1" si="56"/>
        <v/>
      </c>
      <c r="BP25" s="39" t="str">
        <f t="shared" ca="1" si="56"/>
        <v/>
      </c>
      <c r="BQ25" s="39" t="str">
        <f t="shared" ca="1" si="56"/>
        <v/>
      </c>
      <c r="BR25" s="39" t="str">
        <f t="shared" ca="1" si="56"/>
        <v/>
      </c>
      <c r="BS25" s="39" t="str">
        <f t="shared" ca="1" si="56"/>
        <v/>
      </c>
      <c r="BT25" s="39" t="str">
        <f t="shared" ca="1" si="56"/>
        <v/>
      </c>
      <c r="BU25" s="39" t="str">
        <f t="shared" ca="1" si="56"/>
        <v/>
      </c>
      <c r="BV25" s="39" t="str">
        <f t="shared" ca="1" si="56"/>
        <v/>
      </c>
      <c r="BW25" s="39" t="str">
        <f t="shared" ca="1" si="56"/>
        <v/>
      </c>
      <c r="BX25" s="39" t="str">
        <f t="shared" ca="1" si="56"/>
        <v/>
      </c>
      <c r="BY25" s="39" t="str">
        <f t="shared" ca="1" si="57"/>
        <v/>
      </c>
      <c r="BZ25" s="39" t="str">
        <f t="shared" ca="1" si="57"/>
        <v/>
      </c>
      <c r="CA25" s="39" t="str">
        <f t="shared" ca="1" si="57"/>
        <v/>
      </c>
      <c r="CB25" s="39" t="str">
        <f t="shared" ca="1" si="57"/>
        <v/>
      </c>
      <c r="CC25" s="39" t="str">
        <f t="shared" ca="1" si="57"/>
        <v/>
      </c>
      <c r="CD25" s="39" t="str">
        <f t="shared" ca="1" si="57"/>
        <v/>
      </c>
      <c r="CE25" s="39" t="str">
        <f t="shared" ca="1" si="57"/>
        <v/>
      </c>
      <c r="CF25" s="39" t="str">
        <f t="shared" ca="1" si="57"/>
        <v/>
      </c>
      <c r="CG25" s="39" t="str">
        <f t="shared" ca="1" si="57"/>
        <v/>
      </c>
      <c r="CH25" s="39" t="str">
        <f t="shared" ca="1" si="57"/>
        <v/>
      </c>
      <c r="CI25" s="39" t="str">
        <f t="shared" ca="1" si="57"/>
        <v>◆</v>
      </c>
      <c r="CJ25" s="39" t="str">
        <f t="shared" ca="1" si="57"/>
        <v/>
      </c>
      <c r="CK25" s="39" t="str">
        <f t="shared" ca="1" si="57"/>
        <v/>
      </c>
      <c r="CL25" t="str">
        <f ca="1"/>
        <v/>
      </c>
    </row>
    <row r="26" spans="1:90" ht="18.75" customHeight="1">
      <c r="C26" s="28"/>
      <c r="D26" s="10"/>
      <c r="E26" s="22"/>
      <c r="F26" s="20"/>
      <c r="G26" s="20"/>
      <c r="H26" s="20"/>
      <c r="I26" s="23"/>
      <c r="K26" s="24"/>
      <c r="L26" s="28"/>
      <c r="Q26" s="6"/>
      <c r="R26" s="11"/>
      <c r="S26" s="11"/>
      <c r="T26" s="17"/>
      <c r="U26" s="17"/>
      <c r="V26" s="17"/>
      <c r="W26" s="17"/>
      <c r="X26" s="17"/>
      <c r="Y26" s="17"/>
      <c r="Z26" s="33"/>
      <c r="AA26" s="38" t="str">
        <f t="shared" si="52"/>
        <v/>
      </c>
      <c r="AB26" s="16" t="str">
        <f t="shared" si="52"/>
        <v/>
      </c>
      <c r="AC26" s="16" t="str">
        <f t="shared" si="52"/>
        <v/>
      </c>
      <c r="AD26" s="39" t="str">
        <f t="shared" si="52"/>
        <v/>
      </c>
      <c r="AE26" s="38" t="str">
        <f t="shared" si="52"/>
        <v/>
      </c>
      <c r="AF26" s="16" t="str">
        <f t="shared" si="52"/>
        <v/>
      </c>
      <c r="AG26" s="16" t="str">
        <f t="shared" si="52"/>
        <v/>
      </c>
      <c r="AH26" s="39" t="str">
        <f t="shared" si="52"/>
        <v/>
      </c>
      <c r="AI26" s="38" t="str">
        <f t="shared" si="52"/>
        <v/>
      </c>
      <c r="AJ26" s="16" t="str">
        <f t="shared" si="52"/>
        <v/>
      </c>
      <c r="AK26" s="46" t="str">
        <f t="shared" si="53"/>
        <v/>
      </c>
      <c r="AL26" s="52" t="str">
        <f t="shared" si="53"/>
        <v/>
      </c>
      <c r="AM26" s="49" t="str">
        <f t="shared" si="53"/>
        <v/>
      </c>
      <c r="AN26" s="34" t="str">
        <f t="shared" si="53"/>
        <v/>
      </c>
      <c r="AO26" s="16" t="str">
        <f t="shared" si="53"/>
        <v/>
      </c>
      <c r="AP26" s="16" t="str">
        <f t="shared" si="53"/>
        <v/>
      </c>
      <c r="AQ26" s="39" t="str">
        <f t="shared" si="53"/>
        <v/>
      </c>
      <c r="AR26" s="38" t="str">
        <f t="shared" si="53"/>
        <v/>
      </c>
      <c r="AS26" s="16" t="str">
        <f t="shared" si="53"/>
        <v/>
      </c>
      <c r="AT26" s="16" t="str">
        <f t="shared" si="53"/>
        <v/>
      </c>
      <c r="AU26" s="39" t="str">
        <f t="shared" si="54"/>
        <v/>
      </c>
      <c r="AV26" s="38" t="str">
        <f t="shared" si="54"/>
        <v/>
      </c>
      <c r="AW26" s="16" t="str">
        <f t="shared" si="54"/>
        <v/>
      </c>
      <c r="AX26" s="16" t="str">
        <f t="shared" si="54"/>
        <v/>
      </c>
      <c r="AY26" s="16" t="str">
        <f t="shared" si="54"/>
        <v/>
      </c>
      <c r="AZ26" s="39" t="str">
        <f t="shared" si="54"/>
        <v/>
      </c>
      <c r="BA26" s="39" t="str">
        <f t="shared" si="54"/>
        <v/>
      </c>
      <c r="BB26" s="39" t="str">
        <f t="shared" si="54"/>
        <v/>
      </c>
      <c r="BC26" s="39" t="str">
        <f t="shared" si="54"/>
        <v/>
      </c>
      <c r="BD26" s="39" t="str">
        <f t="shared" si="54"/>
        <v/>
      </c>
      <c r="BE26" s="39" t="str">
        <f t="shared" si="55"/>
        <v/>
      </c>
      <c r="BF26" s="39" t="str">
        <f t="shared" si="55"/>
        <v/>
      </c>
      <c r="BG26" s="39" t="str">
        <f t="shared" si="55"/>
        <v/>
      </c>
      <c r="BH26" s="39" t="str">
        <f t="shared" si="55"/>
        <v/>
      </c>
      <c r="BI26" s="39" t="str">
        <f t="shared" si="55"/>
        <v/>
      </c>
      <c r="BJ26" s="39" t="str">
        <f t="shared" si="55"/>
        <v/>
      </c>
      <c r="BK26" s="39" t="str">
        <f t="shared" si="55"/>
        <v/>
      </c>
      <c r="BL26" s="39" t="str">
        <f t="shared" si="55"/>
        <v/>
      </c>
      <c r="BM26" s="39" t="str">
        <f t="shared" si="55"/>
        <v/>
      </c>
      <c r="BN26" s="39" t="str">
        <f t="shared" si="55"/>
        <v/>
      </c>
      <c r="BO26" s="39" t="str">
        <f t="shared" si="56"/>
        <v/>
      </c>
      <c r="BP26" s="39" t="str">
        <f t="shared" si="56"/>
        <v/>
      </c>
      <c r="BQ26" s="39" t="str">
        <f t="shared" si="56"/>
        <v/>
      </c>
      <c r="BR26" s="39" t="str">
        <f t="shared" si="56"/>
        <v/>
      </c>
      <c r="BS26" s="39" t="str">
        <f t="shared" si="56"/>
        <v/>
      </c>
      <c r="BT26" s="39" t="str">
        <f t="shared" si="56"/>
        <v/>
      </c>
      <c r="BU26" s="39" t="str">
        <f t="shared" si="56"/>
        <v/>
      </c>
      <c r="BV26" s="39" t="str">
        <f t="shared" si="56"/>
        <v/>
      </c>
      <c r="BW26" s="39" t="str">
        <f t="shared" si="56"/>
        <v/>
      </c>
      <c r="BX26" s="39" t="str">
        <f t="shared" si="56"/>
        <v/>
      </c>
      <c r="BY26" s="39" t="str">
        <f t="shared" si="57"/>
        <v/>
      </c>
      <c r="BZ26" s="39" t="str">
        <f t="shared" si="57"/>
        <v/>
      </c>
      <c r="CA26" s="39" t="str">
        <f t="shared" si="57"/>
        <v/>
      </c>
      <c r="CB26" s="39" t="str">
        <f t="shared" si="57"/>
        <v/>
      </c>
      <c r="CC26" s="39" t="str">
        <f t="shared" si="57"/>
        <v/>
      </c>
      <c r="CD26" s="39" t="str">
        <f t="shared" si="57"/>
        <v/>
      </c>
      <c r="CE26" s="39" t="str">
        <f t="shared" si="57"/>
        <v/>
      </c>
      <c r="CF26" s="39" t="str">
        <f t="shared" si="57"/>
        <v/>
      </c>
      <c r="CG26" s="39" t="str">
        <f t="shared" si="57"/>
        <v/>
      </c>
      <c r="CH26" s="39" t="str">
        <f t="shared" si="57"/>
        <v/>
      </c>
      <c r="CI26" s="39" t="str">
        <f t="shared" si="57"/>
        <v/>
      </c>
      <c r="CJ26" s="39" t="str">
        <f t="shared" si="57"/>
        <v/>
      </c>
      <c r="CK26" s="39" t="str">
        <f t="shared" si="57"/>
        <v/>
      </c>
    </row>
    <row r="27" spans="1:90" ht="18.75" customHeight="1">
      <c r="C27" s="28"/>
      <c r="D27" s="10"/>
      <c r="E27" s="22"/>
      <c r="F27" s="20"/>
      <c r="G27" s="20"/>
      <c r="H27" s="20"/>
      <c r="I27" s="23"/>
      <c r="K27" s="24"/>
      <c r="L27" s="28"/>
      <c r="Q27" s="6"/>
      <c r="R27" s="11"/>
      <c r="S27" s="11"/>
      <c r="T27" s="17"/>
      <c r="U27" s="17"/>
      <c r="V27" s="17"/>
      <c r="W27" s="17"/>
      <c r="X27" s="17"/>
      <c r="Y27" s="17"/>
      <c r="Z27" s="33"/>
      <c r="AA27" s="38" t="str">
        <f t="shared" si="52"/>
        <v/>
      </c>
      <c r="AB27" s="16" t="str">
        <f t="shared" si="52"/>
        <v/>
      </c>
      <c r="AC27" s="16" t="str">
        <f t="shared" si="52"/>
        <v/>
      </c>
      <c r="AD27" s="39" t="str">
        <f t="shared" si="52"/>
        <v/>
      </c>
      <c r="AE27" s="38" t="str">
        <f t="shared" si="52"/>
        <v/>
      </c>
      <c r="AF27" s="16" t="str">
        <f t="shared" si="52"/>
        <v/>
      </c>
      <c r="AG27" s="16" t="str">
        <f t="shared" si="52"/>
        <v/>
      </c>
      <c r="AH27" s="39" t="str">
        <f t="shared" si="52"/>
        <v/>
      </c>
      <c r="AI27" s="38" t="str">
        <f t="shared" si="52"/>
        <v/>
      </c>
      <c r="AJ27" s="16" t="str">
        <f t="shared" si="52"/>
        <v/>
      </c>
      <c r="AK27" s="46" t="str">
        <f t="shared" si="53"/>
        <v/>
      </c>
      <c r="AL27" s="52" t="str">
        <f t="shared" si="53"/>
        <v/>
      </c>
      <c r="AM27" s="49" t="str">
        <f t="shared" si="53"/>
        <v/>
      </c>
      <c r="AN27" s="34" t="str">
        <f t="shared" si="53"/>
        <v/>
      </c>
      <c r="AO27" s="16" t="str">
        <f t="shared" si="53"/>
        <v/>
      </c>
      <c r="AP27" s="16" t="str">
        <f t="shared" si="53"/>
        <v/>
      </c>
      <c r="AQ27" s="39" t="str">
        <f t="shared" si="53"/>
        <v/>
      </c>
      <c r="AR27" s="38" t="str">
        <f t="shared" si="53"/>
        <v/>
      </c>
      <c r="AS27" s="16" t="str">
        <f t="shared" si="53"/>
        <v/>
      </c>
      <c r="AT27" s="16" t="str">
        <f t="shared" si="53"/>
        <v/>
      </c>
      <c r="AU27" s="39" t="str">
        <f t="shared" si="54"/>
        <v/>
      </c>
      <c r="AV27" s="38" t="str">
        <f t="shared" si="54"/>
        <v/>
      </c>
      <c r="AW27" s="16" t="str">
        <f t="shared" si="54"/>
        <v/>
      </c>
      <c r="AX27" s="16" t="str">
        <f t="shared" si="54"/>
        <v/>
      </c>
      <c r="AY27" s="16" t="str">
        <f t="shared" si="54"/>
        <v/>
      </c>
      <c r="AZ27" s="39" t="str">
        <f t="shared" si="54"/>
        <v/>
      </c>
      <c r="BA27" s="39" t="str">
        <f t="shared" si="54"/>
        <v/>
      </c>
      <c r="BB27" s="39" t="str">
        <f t="shared" si="54"/>
        <v/>
      </c>
      <c r="BC27" s="39" t="str">
        <f t="shared" si="54"/>
        <v/>
      </c>
      <c r="BD27" s="39" t="str">
        <f t="shared" si="54"/>
        <v/>
      </c>
      <c r="BE27" s="39" t="str">
        <f t="shared" si="55"/>
        <v/>
      </c>
      <c r="BF27" s="39" t="str">
        <f t="shared" si="55"/>
        <v/>
      </c>
      <c r="BG27" s="39" t="str">
        <f t="shared" si="55"/>
        <v/>
      </c>
      <c r="BH27" s="39" t="str">
        <f t="shared" si="55"/>
        <v/>
      </c>
      <c r="BI27" s="39" t="str">
        <f t="shared" si="55"/>
        <v/>
      </c>
      <c r="BJ27" s="39" t="str">
        <f t="shared" si="55"/>
        <v/>
      </c>
      <c r="BK27" s="39" t="str">
        <f t="shared" si="55"/>
        <v/>
      </c>
      <c r="BL27" s="39" t="str">
        <f t="shared" si="55"/>
        <v/>
      </c>
      <c r="BM27" s="39" t="str">
        <f t="shared" si="55"/>
        <v/>
      </c>
      <c r="BN27" s="39" t="str">
        <f t="shared" si="55"/>
        <v/>
      </c>
      <c r="BO27" s="39" t="str">
        <f t="shared" si="56"/>
        <v/>
      </c>
      <c r="BP27" s="39" t="str">
        <f t="shared" si="56"/>
        <v/>
      </c>
      <c r="BQ27" s="39" t="str">
        <f t="shared" si="56"/>
        <v/>
      </c>
      <c r="BR27" s="39" t="str">
        <f t="shared" si="56"/>
        <v/>
      </c>
      <c r="BS27" s="39" t="str">
        <f t="shared" si="56"/>
        <v/>
      </c>
      <c r="BT27" s="39" t="str">
        <f t="shared" si="56"/>
        <v/>
      </c>
      <c r="BU27" s="39" t="str">
        <f t="shared" si="56"/>
        <v/>
      </c>
      <c r="BV27" s="39" t="str">
        <f t="shared" si="56"/>
        <v/>
      </c>
      <c r="BW27" s="39" t="str">
        <f t="shared" si="56"/>
        <v/>
      </c>
      <c r="BX27" s="39" t="str">
        <f t="shared" si="56"/>
        <v/>
      </c>
      <c r="BY27" s="39" t="str">
        <f t="shared" si="57"/>
        <v/>
      </c>
      <c r="BZ27" s="39" t="str">
        <f t="shared" si="57"/>
        <v/>
      </c>
      <c r="CA27" s="39" t="str">
        <f t="shared" si="57"/>
        <v/>
      </c>
      <c r="CB27" s="39" t="str">
        <f t="shared" si="57"/>
        <v/>
      </c>
      <c r="CC27" s="39" t="str">
        <f t="shared" si="57"/>
        <v/>
      </c>
      <c r="CD27" s="39" t="str">
        <f t="shared" si="57"/>
        <v/>
      </c>
      <c r="CE27" s="39" t="str">
        <f t="shared" si="57"/>
        <v/>
      </c>
      <c r="CF27" s="39" t="str">
        <f t="shared" si="57"/>
        <v/>
      </c>
      <c r="CG27" s="39" t="str">
        <f t="shared" si="57"/>
        <v/>
      </c>
      <c r="CH27" s="39" t="str">
        <f t="shared" si="57"/>
        <v/>
      </c>
      <c r="CI27" s="39" t="str">
        <f t="shared" si="57"/>
        <v/>
      </c>
      <c r="CJ27" s="39" t="str">
        <f t="shared" si="57"/>
        <v/>
      </c>
      <c r="CK27" s="39" t="str">
        <f t="shared" si="57"/>
        <v/>
      </c>
    </row>
    <row r="28" spans="1:90" ht="18.75" customHeight="1">
      <c r="C28" s="28"/>
      <c r="D28" s="10"/>
      <c r="E28" s="22"/>
      <c r="F28" s="20"/>
      <c r="G28" s="20"/>
      <c r="H28" s="20"/>
      <c r="I28" s="23"/>
      <c r="K28" s="24"/>
      <c r="L28" s="28"/>
      <c r="Q28" s="6"/>
      <c r="R28" s="11"/>
      <c r="S28" s="11"/>
      <c r="T28" s="17"/>
      <c r="U28" s="17"/>
      <c r="V28" s="17"/>
      <c r="W28" s="17"/>
      <c r="X28" s="17"/>
      <c r="Y28" s="17"/>
      <c r="Z28" s="33"/>
      <c r="AA28" s="38" t="str">
        <f t="shared" si="52"/>
        <v/>
      </c>
      <c r="AB28" s="16" t="str">
        <f t="shared" si="52"/>
        <v/>
      </c>
      <c r="AC28" s="16" t="str">
        <f t="shared" si="52"/>
        <v/>
      </c>
      <c r="AD28" s="39" t="str">
        <f t="shared" si="52"/>
        <v/>
      </c>
      <c r="AE28" s="38" t="str">
        <f t="shared" si="52"/>
        <v/>
      </c>
      <c r="AF28" s="16" t="str">
        <f t="shared" si="52"/>
        <v/>
      </c>
      <c r="AG28" s="16" t="str">
        <f t="shared" si="52"/>
        <v/>
      </c>
      <c r="AH28" s="39" t="str">
        <f t="shared" si="52"/>
        <v/>
      </c>
      <c r="AI28" s="38" t="str">
        <f t="shared" si="52"/>
        <v/>
      </c>
      <c r="AJ28" s="16" t="str">
        <f t="shared" si="52"/>
        <v/>
      </c>
      <c r="AK28" s="46" t="str">
        <f t="shared" si="53"/>
        <v/>
      </c>
      <c r="AL28" s="52" t="str">
        <f t="shared" si="53"/>
        <v/>
      </c>
      <c r="AM28" s="49" t="str">
        <f t="shared" si="53"/>
        <v/>
      </c>
      <c r="AN28" s="34" t="str">
        <f t="shared" si="53"/>
        <v/>
      </c>
      <c r="AO28" s="16" t="str">
        <f t="shared" si="53"/>
        <v/>
      </c>
      <c r="AP28" s="16" t="str">
        <f t="shared" si="53"/>
        <v/>
      </c>
      <c r="AQ28" s="39" t="str">
        <f t="shared" si="53"/>
        <v/>
      </c>
      <c r="AR28" s="38" t="str">
        <f t="shared" si="53"/>
        <v/>
      </c>
      <c r="AS28" s="16" t="str">
        <f t="shared" si="53"/>
        <v/>
      </c>
      <c r="AT28" s="16" t="str">
        <f t="shared" si="53"/>
        <v/>
      </c>
      <c r="AU28" s="39" t="str">
        <f t="shared" si="54"/>
        <v/>
      </c>
      <c r="AV28" s="38" t="str">
        <f t="shared" si="54"/>
        <v/>
      </c>
      <c r="AW28" s="16" t="str">
        <f t="shared" si="54"/>
        <v/>
      </c>
      <c r="AX28" s="16" t="str">
        <f t="shared" si="54"/>
        <v/>
      </c>
      <c r="AY28" s="16" t="str">
        <f t="shared" si="54"/>
        <v/>
      </c>
      <c r="AZ28" s="39" t="str">
        <f t="shared" si="54"/>
        <v/>
      </c>
      <c r="BA28" s="39" t="str">
        <f t="shared" si="54"/>
        <v/>
      </c>
      <c r="BB28" s="39" t="str">
        <f t="shared" si="54"/>
        <v/>
      </c>
      <c r="BC28" s="39" t="str">
        <f t="shared" si="54"/>
        <v/>
      </c>
      <c r="BD28" s="39" t="str">
        <f t="shared" si="54"/>
        <v/>
      </c>
      <c r="BE28" s="39" t="str">
        <f t="shared" si="55"/>
        <v/>
      </c>
      <c r="BF28" s="39" t="str">
        <f t="shared" si="55"/>
        <v/>
      </c>
      <c r="BG28" s="39" t="str">
        <f t="shared" si="55"/>
        <v/>
      </c>
      <c r="BH28" s="39" t="str">
        <f t="shared" si="55"/>
        <v/>
      </c>
      <c r="BI28" s="39" t="str">
        <f t="shared" si="55"/>
        <v/>
      </c>
      <c r="BJ28" s="39" t="str">
        <f t="shared" si="55"/>
        <v/>
      </c>
      <c r="BK28" s="39" t="str">
        <f t="shared" si="55"/>
        <v/>
      </c>
      <c r="BL28" s="39" t="str">
        <f t="shared" si="55"/>
        <v/>
      </c>
      <c r="BM28" s="39" t="str">
        <f t="shared" si="55"/>
        <v/>
      </c>
      <c r="BN28" s="39" t="str">
        <f t="shared" si="55"/>
        <v/>
      </c>
      <c r="BO28" s="39" t="str">
        <f t="shared" si="56"/>
        <v/>
      </c>
      <c r="BP28" s="39" t="str">
        <f t="shared" si="56"/>
        <v/>
      </c>
      <c r="BQ28" s="39" t="str">
        <f t="shared" si="56"/>
        <v/>
      </c>
      <c r="BR28" s="39" t="str">
        <f t="shared" si="56"/>
        <v/>
      </c>
      <c r="BS28" s="39" t="str">
        <f t="shared" si="56"/>
        <v/>
      </c>
      <c r="BT28" s="39" t="str">
        <f t="shared" si="56"/>
        <v/>
      </c>
      <c r="BU28" s="39" t="str">
        <f t="shared" si="56"/>
        <v/>
      </c>
      <c r="BV28" s="39" t="str">
        <f t="shared" si="56"/>
        <v/>
      </c>
      <c r="BW28" s="39" t="str">
        <f t="shared" si="56"/>
        <v/>
      </c>
      <c r="BX28" s="39" t="str">
        <f t="shared" si="56"/>
        <v/>
      </c>
      <c r="BY28" s="39" t="str">
        <f t="shared" si="57"/>
        <v/>
      </c>
      <c r="BZ28" s="39" t="str">
        <f t="shared" si="57"/>
        <v/>
      </c>
      <c r="CA28" s="39" t="str">
        <f t="shared" si="57"/>
        <v/>
      </c>
      <c r="CB28" s="39" t="str">
        <f t="shared" si="57"/>
        <v/>
      </c>
      <c r="CC28" s="39" t="str">
        <f t="shared" si="57"/>
        <v/>
      </c>
      <c r="CD28" s="39" t="str">
        <f t="shared" si="57"/>
        <v/>
      </c>
      <c r="CE28" s="39" t="str">
        <f t="shared" si="57"/>
        <v/>
      </c>
      <c r="CF28" s="39" t="str">
        <f t="shared" si="57"/>
        <v/>
      </c>
      <c r="CG28" s="39" t="str">
        <f t="shared" si="57"/>
        <v/>
      </c>
      <c r="CH28" s="39" t="str">
        <f t="shared" si="57"/>
        <v/>
      </c>
      <c r="CI28" s="39" t="str">
        <f t="shared" si="57"/>
        <v/>
      </c>
      <c r="CJ28" s="39" t="str">
        <f t="shared" si="57"/>
        <v/>
      </c>
      <c r="CK28" s="39" t="str">
        <f t="shared" si="57"/>
        <v/>
      </c>
    </row>
    <row r="29" spans="1:90" ht="18.75" customHeight="1">
      <c r="C29" s="28"/>
      <c r="D29" s="10"/>
      <c r="E29" s="22"/>
      <c r="F29" s="20"/>
      <c r="G29" s="20"/>
      <c r="H29" s="20"/>
      <c r="I29" s="23"/>
      <c r="K29" s="24"/>
      <c r="L29" s="20"/>
      <c r="Q29" s="6"/>
      <c r="R29" s="11"/>
      <c r="S29" s="11"/>
      <c r="T29" s="17"/>
      <c r="U29" s="17"/>
      <c r="V29" s="17"/>
      <c r="W29" s="17"/>
      <c r="X29" s="17"/>
      <c r="Y29" s="17"/>
      <c r="Z29" s="33"/>
      <c r="AA29" s="38" t="str">
        <f t="shared" si="52"/>
        <v/>
      </c>
      <c r="AB29" s="16" t="str">
        <f t="shared" si="52"/>
        <v/>
      </c>
      <c r="AC29" s="16" t="str">
        <f t="shared" si="52"/>
        <v/>
      </c>
      <c r="AD29" s="39" t="str">
        <f t="shared" si="52"/>
        <v/>
      </c>
      <c r="AE29" s="38" t="str">
        <f t="shared" si="52"/>
        <v/>
      </c>
      <c r="AF29" s="16" t="str">
        <f t="shared" si="52"/>
        <v/>
      </c>
      <c r="AG29" s="16" t="str">
        <f t="shared" si="52"/>
        <v/>
      </c>
      <c r="AH29" s="39" t="str">
        <f t="shared" si="52"/>
        <v/>
      </c>
      <c r="AI29" s="38" t="str">
        <f t="shared" si="52"/>
        <v/>
      </c>
      <c r="AJ29" s="16" t="str">
        <f t="shared" si="52"/>
        <v/>
      </c>
      <c r="AK29" s="46" t="str">
        <f t="shared" si="53"/>
        <v/>
      </c>
      <c r="AL29" s="52" t="str">
        <f t="shared" si="53"/>
        <v/>
      </c>
      <c r="AM29" s="49" t="str">
        <f t="shared" si="53"/>
        <v/>
      </c>
      <c r="AN29" s="34" t="str">
        <f t="shared" si="53"/>
        <v/>
      </c>
      <c r="AO29" s="16" t="str">
        <f t="shared" si="53"/>
        <v/>
      </c>
      <c r="AP29" s="16" t="str">
        <f t="shared" si="53"/>
        <v/>
      </c>
      <c r="AQ29" s="39" t="str">
        <f t="shared" si="53"/>
        <v/>
      </c>
      <c r="AR29" s="38" t="str">
        <f t="shared" si="53"/>
        <v/>
      </c>
      <c r="AS29" s="16" t="str">
        <f t="shared" si="53"/>
        <v/>
      </c>
      <c r="AT29" s="16" t="str">
        <f t="shared" si="53"/>
        <v/>
      </c>
      <c r="AU29" s="39" t="str">
        <f t="shared" si="54"/>
        <v/>
      </c>
      <c r="AV29" s="38" t="str">
        <f t="shared" si="54"/>
        <v/>
      </c>
      <c r="AW29" s="16" t="str">
        <f t="shared" si="54"/>
        <v/>
      </c>
      <c r="AX29" s="16" t="str">
        <f t="shared" si="54"/>
        <v/>
      </c>
      <c r="AY29" s="16" t="str">
        <f t="shared" si="54"/>
        <v/>
      </c>
      <c r="AZ29" s="39" t="str">
        <f t="shared" si="54"/>
        <v/>
      </c>
      <c r="BA29" s="39" t="str">
        <f t="shared" si="54"/>
        <v/>
      </c>
      <c r="BB29" s="39" t="str">
        <f t="shared" si="54"/>
        <v/>
      </c>
      <c r="BC29" s="39" t="str">
        <f t="shared" si="54"/>
        <v/>
      </c>
      <c r="BD29" s="39" t="str">
        <f t="shared" si="54"/>
        <v/>
      </c>
      <c r="BE29" s="39" t="str">
        <f t="shared" si="55"/>
        <v/>
      </c>
      <c r="BF29" s="39" t="str">
        <f t="shared" si="55"/>
        <v/>
      </c>
      <c r="BG29" s="39" t="str">
        <f t="shared" si="55"/>
        <v/>
      </c>
      <c r="BH29" s="39" t="str">
        <f t="shared" si="55"/>
        <v/>
      </c>
      <c r="BI29" s="39" t="str">
        <f t="shared" si="55"/>
        <v/>
      </c>
      <c r="BJ29" s="39" t="str">
        <f t="shared" si="55"/>
        <v/>
      </c>
      <c r="BK29" s="39" t="str">
        <f t="shared" si="55"/>
        <v/>
      </c>
      <c r="BL29" s="39" t="str">
        <f t="shared" si="55"/>
        <v/>
      </c>
      <c r="BM29" s="39" t="str">
        <f t="shared" si="55"/>
        <v/>
      </c>
      <c r="BN29" s="39" t="str">
        <f t="shared" si="55"/>
        <v/>
      </c>
      <c r="BO29" s="39" t="str">
        <f t="shared" si="56"/>
        <v/>
      </c>
      <c r="BP29" s="39" t="str">
        <f t="shared" si="56"/>
        <v/>
      </c>
      <c r="BQ29" s="39" t="str">
        <f t="shared" si="56"/>
        <v/>
      </c>
      <c r="BR29" s="39" t="str">
        <f t="shared" si="56"/>
        <v/>
      </c>
      <c r="BS29" s="39" t="str">
        <f t="shared" si="56"/>
        <v/>
      </c>
      <c r="BT29" s="39" t="str">
        <f t="shared" si="56"/>
        <v/>
      </c>
      <c r="BU29" s="39" t="str">
        <f t="shared" si="56"/>
        <v/>
      </c>
      <c r="BV29" s="39" t="str">
        <f t="shared" si="56"/>
        <v/>
      </c>
      <c r="BW29" s="39" t="str">
        <f t="shared" si="56"/>
        <v/>
      </c>
      <c r="BX29" s="39" t="str">
        <f t="shared" si="56"/>
        <v/>
      </c>
      <c r="BY29" s="39" t="str">
        <f t="shared" si="57"/>
        <v/>
      </c>
      <c r="BZ29" s="39" t="str">
        <f t="shared" si="57"/>
        <v/>
      </c>
      <c r="CA29" s="39" t="str">
        <f t="shared" si="57"/>
        <v/>
      </c>
      <c r="CB29" s="39" t="str">
        <f t="shared" si="57"/>
        <v/>
      </c>
      <c r="CC29" s="39" t="str">
        <f t="shared" si="57"/>
        <v/>
      </c>
      <c r="CD29" s="39" t="str">
        <f t="shared" si="57"/>
        <v/>
      </c>
      <c r="CE29" s="39" t="str">
        <f t="shared" si="57"/>
        <v/>
      </c>
      <c r="CF29" s="39" t="str">
        <f t="shared" si="57"/>
        <v/>
      </c>
      <c r="CG29" s="39" t="str">
        <f t="shared" si="57"/>
        <v/>
      </c>
      <c r="CH29" s="39" t="str">
        <f t="shared" si="57"/>
        <v/>
      </c>
      <c r="CI29" s="39" t="str">
        <f t="shared" si="57"/>
        <v/>
      </c>
      <c r="CJ29" s="39" t="str">
        <f t="shared" si="57"/>
        <v/>
      </c>
      <c r="CK29" s="39" t="str">
        <f t="shared" si="57"/>
        <v/>
      </c>
    </row>
    <row r="30" spans="1:90" ht="18.75" customHeight="1">
      <c r="C30" s="28"/>
      <c r="D30" s="10"/>
      <c r="E30" s="22"/>
      <c r="F30" s="20"/>
      <c r="G30" s="20"/>
      <c r="H30" s="20"/>
      <c r="I30" s="23"/>
      <c r="K30" s="24"/>
      <c r="L30" s="20"/>
      <c r="Q30" s="6"/>
      <c r="R30" s="11"/>
      <c r="S30" s="11"/>
      <c r="T30" s="17"/>
      <c r="U30" s="17"/>
      <c r="V30" s="17"/>
      <c r="W30" s="17"/>
      <c r="X30" s="17"/>
      <c r="Y30" s="17"/>
      <c r="Z30" s="33"/>
      <c r="AA30" s="38" t="str">
        <f t="shared" si="52"/>
        <v/>
      </c>
      <c r="AB30" s="16" t="str">
        <f t="shared" si="52"/>
        <v/>
      </c>
      <c r="AC30" s="16" t="str">
        <f t="shared" si="52"/>
        <v/>
      </c>
      <c r="AD30" s="39" t="str">
        <f t="shared" si="52"/>
        <v/>
      </c>
      <c r="AE30" s="38" t="str">
        <f t="shared" si="52"/>
        <v/>
      </c>
      <c r="AF30" s="16" t="str">
        <f t="shared" si="52"/>
        <v/>
      </c>
      <c r="AG30" s="16" t="str">
        <f t="shared" si="52"/>
        <v/>
      </c>
      <c r="AH30" s="39" t="str">
        <f t="shared" si="52"/>
        <v/>
      </c>
      <c r="AI30" s="38" t="str">
        <f t="shared" si="52"/>
        <v/>
      </c>
      <c r="AJ30" s="16" t="str">
        <f t="shared" si="52"/>
        <v/>
      </c>
      <c r="AK30" s="46" t="str">
        <f t="shared" si="53"/>
        <v/>
      </c>
      <c r="AL30" s="52" t="str">
        <f t="shared" si="53"/>
        <v/>
      </c>
      <c r="AM30" s="49" t="str">
        <f t="shared" si="53"/>
        <v/>
      </c>
      <c r="AN30" s="34" t="str">
        <f t="shared" si="53"/>
        <v/>
      </c>
      <c r="AO30" s="16" t="str">
        <f t="shared" si="53"/>
        <v/>
      </c>
      <c r="AP30" s="16" t="str">
        <f t="shared" si="53"/>
        <v/>
      </c>
      <c r="AQ30" s="39" t="str">
        <f t="shared" si="53"/>
        <v/>
      </c>
      <c r="AR30" s="38" t="str">
        <f t="shared" si="53"/>
        <v/>
      </c>
      <c r="AS30" s="16" t="str">
        <f t="shared" si="53"/>
        <v/>
      </c>
      <c r="AT30" s="16" t="str">
        <f t="shared" si="53"/>
        <v/>
      </c>
      <c r="AU30" s="39" t="str">
        <f t="shared" si="54"/>
        <v/>
      </c>
      <c r="AV30" s="38" t="str">
        <f t="shared" si="54"/>
        <v/>
      </c>
      <c r="AW30" s="16" t="str">
        <f t="shared" si="54"/>
        <v/>
      </c>
      <c r="AX30" s="16" t="str">
        <f t="shared" si="54"/>
        <v/>
      </c>
      <c r="AY30" s="16" t="str">
        <f t="shared" si="54"/>
        <v/>
      </c>
      <c r="AZ30" s="39" t="str">
        <f t="shared" si="54"/>
        <v/>
      </c>
      <c r="BA30" s="39" t="str">
        <f t="shared" si="54"/>
        <v/>
      </c>
      <c r="BB30" s="39" t="str">
        <f t="shared" si="54"/>
        <v/>
      </c>
      <c r="BC30" s="39" t="str">
        <f t="shared" si="54"/>
        <v/>
      </c>
      <c r="BD30" s="39" t="str">
        <f t="shared" si="54"/>
        <v/>
      </c>
      <c r="BE30" s="39" t="str">
        <f t="shared" si="55"/>
        <v/>
      </c>
      <c r="BF30" s="39" t="str">
        <f t="shared" si="55"/>
        <v/>
      </c>
      <c r="BG30" s="39" t="str">
        <f t="shared" si="55"/>
        <v/>
      </c>
      <c r="BH30" s="39" t="str">
        <f t="shared" si="55"/>
        <v/>
      </c>
      <c r="BI30" s="39" t="str">
        <f t="shared" si="55"/>
        <v/>
      </c>
      <c r="BJ30" s="39" t="str">
        <f t="shared" si="55"/>
        <v/>
      </c>
      <c r="BK30" s="39" t="str">
        <f t="shared" si="55"/>
        <v/>
      </c>
      <c r="BL30" s="39" t="str">
        <f t="shared" si="55"/>
        <v/>
      </c>
      <c r="BM30" s="39" t="str">
        <f t="shared" si="55"/>
        <v/>
      </c>
      <c r="BN30" s="39" t="str">
        <f t="shared" si="55"/>
        <v/>
      </c>
      <c r="BO30" s="39" t="str">
        <f t="shared" si="56"/>
        <v/>
      </c>
      <c r="BP30" s="39" t="str">
        <f t="shared" si="56"/>
        <v/>
      </c>
      <c r="BQ30" s="39" t="str">
        <f t="shared" si="56"/>
        <v/>
      </c>
      <c r="BR30" s="39" t="str">
        <f t="shared" si="56"/>
        <v/>
      </c>
      <c r="BS30" s="39" t="str">
        <f t="shared" si="56"/>
        <v/>
      </c>
      <c r="BT30" s="39" t="str">
        <f t="shared" si="56"/>
        <v/>
      </c>
      <c r="BU30" s="39" t="str">
        <f t="shared" si="56"/>
        <v/>
      </c>
      <c r="BV30" s="39" t="str">
        <f t="shared" si="56"/>
        <v/>
      </c>
      <c r="BW30" s="39" t="str">
        <f t="shared" si="56"/>
        <v/>
      </c>
      <c r="BX30" s="39" t="str">
        <f t="shared" si="56"/>
        <v/>
      </c>
      <c r="BY30" s="39" t="str">
        <f t="shared" si="57"/>
        <v/>
      </c>
      <c r="BZ30" s="39" t="str">
        <f t="shared" si="57"/>
        <v/>
      </c>
      <c r="CA30" s="39" t="str">
        <f t="shared" si="57"/>
        <v/>
      </c>
      <c r="CB30" s="39" t="str">
        <f t="shared" si="57"/>
        <v/>
      </c>
      <c r="CC30" s="39" t="str">
        <f t="shared" si="57"/>
        <v/>
      </c>
      <c r="CD30" s="39" t="str">
        <f t="shared" si="57"/>
        <v/>
      </c>
      <c r="CE30" s="39" t="str">
        <f t="shared" si="57"/>
        <v/>
      </c>
      <c r="CF30" s="39" t="str">
        <f t="shared" si="57"/>
        <v/>
      </c>
      <c r="CG30" s="39" t="str">
        <f t="shared" si="57"/>
        <v/>
      </c>
      <c r="CH30" s="39" t="str">
        <f t="shared" si="57"/>
        <v/>
      </c>
      <c r="CI30" s="39" t="str">
        <f t="shared" si="57"/>
        <v/>
      </c>
      <c r="CJ30" s="39" t="str">
        <f t="shared" si="57"/>
        <v/>
      </c>
      <c r="CK30" s="39" t="str">
        <f t="shared" si="57"/>
        <v/>
      </c>
    </row>
    <row r="31" spans="1:90" ht="18.75" customHeight="1">
      <c r="C31" s="19"/>
      <c r="D31" s="9"/>
      <c r="E31" s="22"/>
      <c r="F31" s="20"/>
      <c r="G31" s="20"/>
      <c r="H31" s="20"/>
      <c r="I31" s="23"/>
      <c r="K31" s="24"/>
      <c r="L31" s="20"/>
      <c r="Q31" s="6"/>
      <c r="R31" s="11"/>
      <c r="S31" s="11"/>
      <c r="T31" s="17"/>
      <c r="U31" s="17"/>
      <c r="V31" s="17"/>
      <c r="W31" s="17"/>
      <c r="X31" s="17"/>
      <c r="Y31" s="17"/>
      <c r="Z31" s="33"/>
      <c r="AA31" s="38" t="str">
        <f t="shared" si="52"/>
        <v/>
      </c>
      <c r="AB31" s="16" t="str">
        <f t="shared" si="52"/>
        <v/>
      </c>
      <c r="AC31" s="16" t="str">
        <f t="shared" si="52"/>
        <v/>
      </c>
      <c r="AD31" s="39" t="str">
        <f t="shared" si="52"/>
        <v/>
      </c>
      <c r="AE31" s="38" t="str">
        <f t="shared" si="52"/>
        <v/>
      </c>
      <c r="AF31" s="16" t="str">
        <f t="shared" si="52"/>
        <v/>
      </c>
      <c r="AG31" s="16" t="str">
        <f t="shared" si="52"/>
        <v/>
      </c>
      <c r="AH31" s="39" t="str">
        <f t="shared" si="52"/>
        <v/>
      </c>
      <c r="AI31" s="38" t="str">
        <f t="shared" si="52"/>
        <v/>
      </c>
      <c r="AJ31" s="16" t="str">
        <f t="shared" si="52"/>
        <v/>
      </c>
      <c r="AK31" s="46" t="str">
        <f t="shared" si="53"/>
        <v/>
      </c>
      <c r="AL31" s="52" t="str">
        <f t="shared" si="53"/>
        <v/>
      </c>
      <c r="AM31" s="49" t="str">
        <f t="shared" si="53"/>
        <v/>
      </c>
      <c r="AN31" s="34" t="str">
        <f t="shared" si="53"/>
        <v/>
      </c>
      <c r="AO31" s="16" t="str">
        <f t="shared" si="53"/>
        <v/>
      </c>
      <c r="AP31" s="16" t="str">
        <f t="shared" si="53"/>
        <v/>
      </c>
      <c r="AQ31" s="39" t="str">
        <f t="shared" si="53"/>
        <v/>
      </c>
      <c r="AR31" s="38" t="str">
        <f t="shared" si="53"/>
        <v/>
      </c>
      <c r="AS31" s="16" t="str">
        <f t="shared" si="53"/>
        <v/>
      </c>
      <c r="AT31" s="16" t="str">
        <f t="shared" si="53"/>
        <v/>
      </c>
      <c r="AU31" s="39" t="str">
        <f t="shared" si="54"/>
        <v/>
      </c>
      <c r="AV31" s="38" t="str">
        <f t="shared" si="54"/>
        <v/>
      </c>
      <c r="AW31" s="16" t="str">
        <f t="shared" si="54"/>
        <v/>
      </c>
      <c r="AX31" s="16" t="str">
        <f t="shared" si="54"/>
        <v/>
      </c>
      <c r="AY31" s="16" t="str">
        <f t="shared" si="54"/>
        <v/>
      </c>
      <c r="AZ31" s="39" t="str">
        <f t="shared" si="54"/>
        <v/>
      </c>
      <c r="BA31" s="39" t="str">
        <f t="shared" si="54"/>
        <v/>
      </c>
      <c r="BB31" s="39" t="str">
        <f t="shared" si="54"/>
        <v/>
      </c>
      <c r="BC31" s="39" t="str">
        <f t="shared" si="54"/>
        <v/>
      </c>
      <c r="BD31" s="39" t="str">
        <f t="shared" si="54"/>
        <v/>
      </c>
      <c r="BE31" s="39" t="str">
        <f t="shared" si="55"/>
        <v/>
      </c>
      <c r="BF31" s="39" t="str">
        <f t="shared" si="55"/>
        <v/>
      </c>
      <c r="BG31" s="39" t="str">
        <f t="shared" si="55"/>
        <v/>
      </c>
      <c r="BH31" s="39" t="str">
        <f t="shared" si="55"/>
        <v/>
      </c>
      <c r="BI31" s="39" t="str">
        <f t="shared" si="55"/>
        <v/>
      </c>
      <c r="BJ31" s="39" t="str">
        <f t="shared" si="55"/>
        <v/>
      </c>
      <c r="BK31" s="39" t="str">
        <f t="shared" si="55"/>
        <v/>
      </c>
      <c r="BL31" s="39" t="str">
        <f t="shared" si="55"/>
        <v/>
      </c>
      <c r="BM31" s="39" t="str">
        <f t="shared" si="55"/>
        <v/>
      </c>
      <c r="BN31" s="39" t="str">
        <f t="shared" si="55"/>
        <v/>
      </c>
      <c r="BO31" s="39" t="str">
        <f t="shared" si="56"/>
        <v/>
      </c>
      <c r="BP31" s="39" t="str">
        <f t="shared" si="56"/>
        <v/>
      </c>
      <c r="BQ31" s="39" t="str">
        <f t="shared" si="56"/>
        <v/>
      </c>
      <c r="BR31" s="39" t="str">
        <f t="shared" si="56"/>
        <v/>
      </c>
      <c r="BS31" s="39" t="str">
        <f t="shared" si="56"/>
        <v/>
      </c>
      <c r="BT31" s="39" t="str">
        <f t="shared" si="56"/>
        <v/>
      </c>
      <c r="BU31" s="39" t="str">
        <f t="shared" si="56"/>
        <v/>
      </c>
      <c r="BV31" s="39" t="str">
        <f t="shared" si="56"/>
        <v/>
      </c>
      <c r="BW31" s="39" t="str">
        <f t="shared" si="56"/>
        <v/>
      </c>
      <c r="BX31" s="39" t="str">
        <f t="shared" si="56"/>
        <v/>
      </c>
      <c r="BY31" s="39" t="str">
        <f t="shared" si="57"/>
        <v/>
      </c>
      <c r="BZ31" s="39" t="str">
        <f t="shared" si="57"/>
        <v/>
      </c>
      <c r="CA31" s="39" t="str">
        <f t="shared" si="57"/>
        <v/>
      </c>
      <c r="CB31" s="39" t="str">
        <f t="shared" si="57"/>
        <v/>
      </c>
      <c r="CC31" s="39" t="str">
        <f t="shared" si="57"/>
        <v/>
      </c>
      <c r="CD31" s="39" t="str">
        <f t="shared" si="57"/>
        <v/>
      </c>
      <c r="CE31" s="39" t="str">
        <f t="shared" si="57"/>
        <v/>
      </c>
      <c r="CF31" s="39" t="str">
        <f t="shared" si="57"/>
        <v/>
      </c>
      <c r="CG31" s="39" t="str">
        <f t="shared" si="57"/>
        <v/>
      </c>
      <c r="CH31" s="39" t="str">
        <f t="shared" si="57"/>
        <v/>
      </c>
      <c r="CI31" s="39" t="str">
        <f t="shared" si="57"/>
        <v/>
      </c>
      <c r="CJ31" s="39" t="str">
        <f t="shared" si="57"/>
        <v/>
      </c>
      <c r="CK31" s="39" t="str">
        <f t="shared" si="57"/>
        <v/>
      </c>
    </row>
    <row r="32" spans="1:90" ht="18.75" customHeight="1">
      <c r="C32" s="28"/>
      <c r="D32" s="10"/>
      <c r="E32" s="22"/>
      <c r="F32" s="20"/>
      <c r="G32" s="20"/>
      <c r="H32" s="20"/>
      <c r="I32" s="23"/>
      <c r="K32" s="24"/>
      <c r="L32" s="28"/>
      <c r="Q32" s="6"/>
      <c r="R32" s="11"/>
      <c r="S32" s="11"/>
      <c r="T32" s="17"/>
      <c r="U32" s="17"/>
      <c r="V32" s="17"/>
      <c r="W32" s="17"/>
      <c r="X32" s="17"/>
      <c r="Y32" s="17"/>
      <c r="Z32" s="33"/>
      <c r="AA32" s="38" t="str">
        <f t="shared" si="52"/>
        <v/>
      </c>
      <c r="AB32" s="16" t="str">
        <f t="shared" si="52"/>
        <v/>
      </c>
      <c r="AC32" s="16" t="str">
        <f t="shared" si="52"/>
        <v/>
      </c>
      <c r="AD32" s="39" t="str">
        <f t="shared" si="52"/>
        <v/>
      </c>
      <c r="AE32" s="38" t="str">
        <f t="shared" si="52"/>
        <v/>
      </c>
      <c r="AF32" s="16" t="str">
        <f t="shared" si="52"/>
        <v/>
      </c>
      <c r="AG32" s="16" t="str">
        <f t="shared" si="52"/>
        <v/>
      </c>
      <c r="AH32" s="39" t="str">
        <f t="shared" si="52"/>
        <v/>
      </c>
      <c r="AI32" s="38" t="str">
        <f t="shared" si="52"/>
        <v/>
      </c>
      <c r="AJ32" s="16" t="str">
        <f t="shared" si="52"/>
        <v/>
      </c>
      <c r="AK32" s="46" t="str">
        <f t="shared" si="53"/>
        <v/>
      </c>
      <c r="AL32" s="52" t="str">
        <f t="shared" si="53"/>
        <v/>
      </c>
      <c r="AM32" s="49" t="str">
        <f t="shared" si="53"/>
        <v/>
      </c>
      <c r="AN32" s="34" t="str">
        <f t="shared" si="53"/>
        <v/>
      </c>
      <c r="AO32" s="16" t="str">
        <f t="shared" si="53"/>
        <v/>
      </c>
      <c r="AP32" s="16" t="str">
        <f t="shared" si="53"/>
        <v/>
      </c>
      <c r="AQ32" s="39" t="str">
        <f t="shared" si="53"/>
        <v/>
      </c>
      <c r="AR32" s="38" t="str">
        <f t="shared" si="53"/>
        <v/>
      </c>
      <c r="AS32" s="16" t="str">
        <f t="shared" si="53"/>
        <v/>
      </c>
      <c r="AT32" s="16" t="str">
        <f t="shared" si="53"/>
        <v/>
      </c>
      <c r="AU32" s="39" t="str">
        <f t="shared" si="54"/>
        <v/>
      </c>
      <c r="AV32" s="38" t="str">
        <f t="shared" si="54"/>
        <v/>
      </c>
      <c r="AW32" s="16" t="str">
        <f t="shared" si="54"/>
        <v/>
      </c>
      <c r="AX32" s="16" t="str">
        <f t="shared" si="54"/>
        <v/>
      </c>
      <c r="AY32" s="16" t="str">
        <f t="shared" si="54"/>
        <v/>
      </c>
      <c r="AZ32" s="39" t="str">
        <f t="shared" si="54"/>
        <v/>
      </c>
      <c r="BA32" s="39" t="str">
        <f t="shared" si="54"/>
        <v/>
      </c>
      <c r="BB32" s="39" t="str">
        <f t="shared" si="54"/>
        <v/>
      </c>
      <c r="BC32" s="39" t="str">
        <f t="shared" si="54"/>
        <v/>
      </c>
      <c r="BD32" s="39" t="str">
        <f t="shared" si="54"/>
        <v/>
      </c>
      <c r="BE32" s="39" t="str">
        <f t="shared" si="55"/>
        <v/>
      </c>
      <c r="BF32" s="39" t="str">
        <f t="shared" si="55"/>
        <v/>
      </c>
      <c r="BG32" s="39" t="str">
        <f t="shared" si="55"/>
        <v/>
      </c>
      <c r="BH32" s="39" t="str">
        <f t="shared" si="55"/>
        <v/>
      </c>
      <c r="BI32" s="39" t="str">
        <f t="shared" si="55"/>
        <v/>
      </c>
      <c r="BJ32" s="39" t="str">
        <f t="shared" si="55"/>
        <v/>
      </c>
      <c r="BK32" s="39" t="str">
        <f t="shared" si="55"/>
        <v/>
      </c>
      <c r="BL32" s="39" t="str">
        <f t="shared" si="55"/>
        <v/>
      </c>
      <c r="BM32" s="39" t="str">
        <f t="shared" si="55"/>
        <v/>
      </c>
      <c r="BN32" s="39" t="str">
        <f t="shared" si="55"/>
        <v/>
      </c>
      <c r="BO32" s="39" t="str">
        <f t="shared" si="56"/>
        <v/>
      </c>
      <c r="BP32" s="39" t="str">
        <f t="shared" si="56"/>
        <v/>
      </c>
      <c r="BQ32" s="39" t="str">
        <f t="shared" si="56"/>
        <v/>
      </c>
      <c r="BR32" s="39" t="str">
        <f t="shared" si="56"/>
        <v/>
      </c>
      <c r="BS32" s="39" t="str">
        <f t="shared" si="56"/>
        <v/>
      </c>
      <c r="BT32" s="39" t="str">
        <f t="shared" si="56"/>
        <v/>
      </c>
      <c r="BU32" s="39" t="str">
        <f t="shared" si="56"/>
        <v/>
      </c>
      <c r="BV32" s="39" t="str">
        <f t="shared" si="56"/>
        <v/>
      </c>
      <c r="BW32" s="39" t="str">
        <f t="shared" si="56"/>
        <v/>
      </c>
      <c r="BX32" s="39" t="str">
        <f t="shared" si="56"/>
        <v/>
      </c>
      <c r="BY32" s="39" t="str">
        <f t="shared" si="57"/>
        <v/>
      </c>
      <c r="BZ32" s="39" t="str">
        <f t="shared" si="57"/>
        <v/>
      </c>
      <c r="CA32" s="39" t="str">
        <f t="shared" si="57"/>
        <v/>
      </c>
      <c r="CB32" s="39" t="str">
        <f t="shared" si="57"/>
        <v/>
      </c>
      <c r="CC32" s="39" t="str">
        <f t="shared" si="57"/>
        <v/>
      </c>
      <c r="CD32" s="39" t="str">
        <f t="shared" si="57"/>
        <v/>
      </c>
      <c r="CE32" s="39" t="str">
        <f t="shared" si="57"/>
        <v/>
      </c>
      <c r="CF32" s="39" t="str">
        <f t="shared" si="57"/>
        <v/>
      </c>
      <c r="CG32" s="39" t="str">
        <f t="shared" si="57"/>
        <v/>
      </c>
      <c r="CH32" s="39" t="str">
        <f t="shared" si="57"/>
        <v/>
      </c>
      <c r="CI32" s="39" t="str">
        <f t="shared" si="57"/>
        <v/>
      </c>
      <c r="CJ32" s="39" t="str">
        <f t="shared" si="57"/>
        <v/>
      </c>
      <c r="CK32" s="39" t="str">
        <f t="shared" si="57"/>
        <v/>
      </c>
    </row>
    <row r="33" spans="1:89" ht="18.75" customHeight="1">
      <c r="A33" s="30"/>
      <c r="C33" s="28"/>
      <c r="D33" s="10"/>
      <c r="E33" s="22"/>
      <c r="F33" s="20"/>
      <c r="G33" s="20"/>
      <c r="H33" s="20"/>
      <c r="I33" s="23"/>
      <c r="K33" s="24"/>
      <c r="L33" s="28"/>
      <c r="Q33" s="6"/>
      <c r="R33" s="11"/>
      <c r="S33" s="11"/>
      <c r="T33" s="17"/>
      <c r="U33" s="17"/>
      <c r="V33" s="17"/>
      <c r="W33" s="17"/>
      <c r="X33" s="17"/>
      <c r="Y33" s="17"/>
      <c r="Z33" s="33"/>
      <c r="AA33" s="38" t="str">
        <f t="shared" ref="AA33:AJ42" si="58">IF($A33="","",IF($B33="Milestone",IF(AND(AA$1&lt;=$R33,AA$1+7&gt;$R33),"◆",""),IF(AND(AA$1&lt;$S33,AA$1+7&gt;$R33),IF($B33="Summary","=",IF($B33="Activity",IF($Z33=TRUE,"X","O"),"")),"")))</f>
        <v/>
      </c>
      <c r="AB33" s="16" t="str">
        <f t="shared" si="58"/>
        <v/>
      </c>
      <c r="AC33" s="16" t="str">
        <f t="shared" si="58"/>
        <v/>
      </c>
      <c r="AD33" s="39" t="str">
        <f t="shared" si="58"/>
        <v/>
      </c>
      <c r="AE33" s="38" t="str">
        <f t="shared" si="58"/>
        <v/>
      </c>
      <c r="AF33" s="16" t="str">
        <f t="shared" si="58"/>
        <v/>
      </c>
      <c r="AG33" s="16" t="str">
        <f t="shared" si="58"/>
        <v/>
      </c>
      <c r="AH33" s="39" t="str">
        <f t="shared" si="58"/>
        <v/>
      </c>
      <c r="AI33" s="38" t="str">
        <f t="shared" si="58"/>
        <v/>
      </c>
      <c r="AJ33" s="16" t="str">
        <f t="shared" si="58"/>
        <v/>
      </c>
      <c r="AK33" s="46" t="str">
        <f t="shared" ref="AK33:AT42" si="59">IF($A33="","",IF($B33="Milestone",IF(AND(AK$1&lt;=$R33,AK$1+7&gt;$R33),"◆",""),IF(AND(AK$1&lt;$S33,AK$1+7&gt;$R33),IF($B33="Summary","=",IF($B33="Activity",IF($Z33=TRUE,"X","O"),"")),"")))</f>
        <v/>
      </c>
      <c r="AL33" s="52" t="str">
        <f t="shared" si="59"/>
        <v/>
      </c>
      <c r="AM33" s="49" t="str">
        <f t="shared" si="59"/>
        <v/>
      </c>
      <c r="AN33" s="34" t="str">
        <f t="shared" si="59"/>
        <v/>
      </c>
      <c r="AO33" s="16" t="str">
        <f t="shared" si="59"/>
        <v/>
      </c>
      <c r="AP33" s="16" t="str">
        <f t="shared" si="59"/>
        <v/>
      </c>
      <c r="AQ33" s="39" t="str">
        <f t="shared" si="59"/>
        <v/>
      </c>
      <c r="AR33" s="38" t="str">
        <f t="shared" si="59"/>
        <v/>
      </c>
      <c r="AS33" s="16" t="str">
        <f t="shared" si="59"/>
        <v/>
      </c>
      <c r="AT33" s="16" t="str">
        <f t="shared" si="59"/>
        <v/>
      </c>
      <c r="AU33" s="39" t="str">
        <f t="shared" ref="AU33:BD42" si="60">IF($A33="","",IF($B33="Milestone",IF(AND(AU$1&lt;=$R33,AU$1+7&gt;$R33),"◆",""),IF(AND(AU$1&lt;$S33,AU$1+7&gt;$R33),IF($B33="Summary","=",IF($B33="Activity",IF($Z33=TRUE,"X","O"),"")),"")))</f>
        <v/>
      </c>
      <c r="AV33" s="38" t="str">
        <f t="shared" si="60"/>
        <v/>
      </c>
      <c r="AW33" s="16" t="str">
        <f t="shared" si="60"/>
        <v/>
      </c>
      <c r="AX33" s="16" t="str">
        <f t="shared" si="60"/>
        <v/>
      </c>
      <c r="AY33" s="16" t="str">
        <f t="shared" si="60"/>
        <v/>
      </c>
      <c r="AZ33" s="39" t="str">
        <f t="shared" si="60"/>
        <v/>
      </c>
      <c r="BA33" s="39" t="str">
        <f t="shared" si="60"/>
        <v/>
      </c>
      <c r="BB33" s="39" t="str">
        <f t="shared" si="60"/>
        <v/>
      </c>
      <c r="BC33" s="39" t="str">
        <f t="shared" si="60"/>
        <v/>
      </c>
      <c r="BD33" s="39" t="str">
        <f t="shared" si="60"/>
        <v/>
      </c>
      <c r="BE33" s="39" t="str">
        <f t="shared" ref="BE33:BN42" si="61">IF($A33="","",IF($B33="Milestone",IF(AND(BE$1&lt;=$R33,BE$1+7&gt;$R33),"◆",""),IF(AND(BE$1&lt;$S33,BE$1+7&gt;$R33),IF($B33="Summary","=",IF($B33="Activity",IF($Z33=TRUE,"X","O"),"")),"")))</f>
        <v/>
      </c>
      <c r="BF33" s="39" t="str">
        <f t="shared" si="61"/>
        <v/>
      </c>
      <c r="BG33" s="39" t="str">
        <f t="shared" si="61"/>
        <v/>
      </c>
      <c r="BH33" s="39" t="str">
        <f t="shared" si="61"/>
        <v/>
      </c>
      <c r="BI33" s="39" t="str">
        <f t="shared" si="61"/>
        <v/>
      </c>
      <c r="BJ33" s="39" t="str">
        <f t="shared" si="61"/>
        <v/>
      </c>
      <c r="BK33" s="39" t="str">
        <f t="shared" si="61"/>
        <v/>
      </c>
      <c r="BL33" s="39" t="str">
        <f t="shared" si="61"/>
        <v/>
      </c>
      <c r="BM33" s="39" t="str">
        <f t="shared" si="61"/>
        <v/>
      </c>
      <c r="BN33" s="39" t="str">
        <f t="shared" si="61"/>
        <v/>
      </c>
      <c r="BO33" s="39" t="str">
        <f t="shared" ref="BO33:BX42" si="62">IF($A33="","",IF($B33="Milestone",IF(AND(BO$1&lt;=$R33,BO$1+7&gt;$R33),"◆",""),IF(AND(BO$1&lt;$S33,BO$1+7&gt;$R33),IF($B33="Summary","=",IF($B33="Activity",IF($Z33=TRUE,"X","O"),"")),"")))</f>
        <v/>
      </c>
      <c r="BP33" s="39" t="str">
        <f t="shared" si="62"/>
        <v/>
      </c>
      <c r="BQ33" s="39" t="str">
        <f t="shared" si="62"/>
        <v/>
      </c>
      <c r="BR33" s="39" t="str">
        <f t="shared" si="62"/>
        <v/>
      </c>
      <c r="BS33" s="39" t="str">
        <f t="shared" si="62"/>
        <v/>
      </c>
      <c r="BT33" s="39" t="str">
        <f t="shared" si="62"/>
        <v/>
      </c>
      <c r="BU33" s="39" t="str">
        <f t="shared" si="62"/>
        <v/>
      </c>
      <c r="BV33" s="39" t="str">
        <f t="shared" si="62"/>
        <v/>
      </c>
      <c r="BW33" s="39" t="str">
        <f t="shared" si="62"/>
        <v/>
      </c>
      <c r="BX33" s="39" t="str">
        <f t="shared" si="62"/>
        <v/>
      </c>
      <c r="BY33" s="39" t="str">
        <f t="shared" ref="BY33:CK42" si="63">IF($A33="","",IF($B33="Milestone",IF(AND(BY$1&lt;=$R33,BY$1+7&gt;$R33),"◆",""),IF(AND(BY$1&lt;$S33,BY$1+7&gt;$R33),IF($B33="Summary","=",IF($B33="Activity",IF($Z33=TRUE,"X","O"),"")),"")))</f>
        <v/>
      </c>
      <c r="BZ33" s="39" t="str">
        <f t="shared" si="63"/>
        <v/>
      </c>
      <c r="CA33" s="39" t="str">
        <f t="shared" si="63"/>
        <v/>
      </c>
      <c r="CB33" s="39" t="str">
        <f t="shared" si="63"/>
        <v/>
      </c>
      <c r="CC33" s="39" t="str">
        <f t="shared" si="63"/>
        <v/>
      </c>
      <c r="CD33" s="39" t="str">
        <f t="shared" si="63"/>
        <v/>
      </c>
      <c r="CE33" s="39" t="str">
        <f t="shared" si="63"/>
        <v/>
      </c>
      <c r="CF33" s="39" t="str">
        <f t="shared" si="63"/>
        <v/>
      </c>
      <c r="CG33" s="39" t="str">
        <f t="shared" si="63"/>
        <v/>
      </c>
      <c r="CH33" s="39" t="str">
        <f t="shared" si="63"/>
        <v/>
      </c>
      <c r="CI33" s="39" t="str">
        <f t="shared" si="63"/>
        <v/>
      </c>
      <c r="CJ33" s="39" t="str">
        <f t="shared" si="63"/>
        <v/>
      </c>
      <c r="CK33" s="39" t="str">
        <f t="shared" si="63"/>
        <v/>
      </c>
    </row>
    <row r="34" spans="1:89" ht="18.75" customHeight="1">
      <c r="C34" s="28"/>
      <c r="D34" s="10"/>
      <c r="E34" s="22"/>
      <c r="F34" s="20"/>
      <c r="G34" s="20"/>
      <c r="H34" s="20"/>
      <c r="I34" s="23"/>
      <c r="K34" s="24"/>
      <c r="L34" s="20"/>
      <c r="Q34" s="6"/>
      <c r="R34" s="11"/>
      <c r="S34" s="11"/>
      <c r="T34" s="17"/>
      <c r="U34" s="17"/>
      <c r="V34" s="17"/>
      <c r="W34" s="17"/>
      <c r="X34" s="17"/>
      <c r="Y34" s="17"/>
      <c r="Z34" s="33"/>
      <c r="AA34" s="38" t="str">
        <f t="shared" si="58"/>
        <v/>
      </c>
      <c r="AB34" s="16" t="str">
        <f t="shared" si="58"/>
        <v/>
      </c>
      <c r="AC34" s="16" t="str">
        <f t="shared" si="58"/>
        <v/>
      </c>
      <c r="AD34" s="39" t="str">
        <f t="shared" si="58"/>
        <v/>
      </c>
      <c r="AE34" s="38" t="str">
        <f t="shared" si="58"/>
        <v/>
      </c>
      <c r="AF34" s="16" t="str">
        <f t="shared" si="58"/>
        <v/>
      </c>
      <c r="AG34" s="16" t="str">
        <f t="shared" si="58"/>
        <v/>
      </c>
      <c r="AH34" s="39" t="str">
        <f t="shared" si="58"/>
        <v/>
      </c>
      <c r="AI34" s="38" t="str">
        <f t="shared" si="58"/>
        <v/>
      </c>
      <c r="AJ34" s="16" t="str">
        <f t="shared" si="58"/>
        <v/>
      </c>
      <c r="AK34" s="46" t="str">
        <f t="shared" si="59"/>
        <v/>
      </c>
      <c r="AL34" s="52" t="str">
        <f t="shared" si="59"/>
        <v/>
      </c>
      <c r="AM34" s="49" t="str">
        <f t="shared" si="59"/>
        <v/>
      </c>
      <c r="AN34" s="34" t="str">
        <f t="shared" si="59"/>
        <v/>
      </c>
      <c r="AO34" s="16" t="str">
        <f t="shared" si="59"/>
        <v/>
      </c>
      <c r="AP34" s="16" t="str">
        <f t="shared" si="59"/>
        <v/>
      </c>
      <c r="AQ34" s="39" t="str">
        <f t="shared" si="59"/>
        <v/>
      </c>
      <c r="AR34" s="38" t="str">
        <f t="shared" si="59"/>
        <v/>
      </c>
      <c r="AS34" s="16" t="str">
        <f t="shared" si="59"/>
        <v/>
      </c>
      <c r="AT34" s="16" t="str">
        <f t="shared" si="59"/>
        <v/>
      </c>
      <c r="AU34" s="39" t="str">
        <f t="shared" si="60"/>
        <v/>
      </c>
      <c r="AV34" s="38" t="str">
        <f t="shared" si="60"/>
        <v/>
      </c>
      <c r="AW34" s="16" t="str">
        <f t="shared" si="60"/>
        <v/>
      </c>
      <c r="AX34" s="16" t="str">
        <f t="shared" si="60"/>
        <v/>
      </c>
      <c r="AY34" s="16" t="str">
        <f t="shared" si="60"/>
        <v/>
      </c>
      <c r="AZ34" s="39" t="str">
        <f t="shared" si="60"/>
        <v/>
      </c>
      <c r="BA34" s="39" t="str">
        <f t="shared" si="60"/>
        <v/>
      </c>
      <c r="BB34" s="39" t="str">
        <f t="shared" si="60"/>
        <v/>
      </c>
      <c r="BC34" s="39" t="str">
        <f t="shared" si="60"/>
        <v/>
      </c>
      <c r="BD34" s="39" t="str">
        <f t="shared" si="60"/>
        <v/>
      </c>
      <c r="BE34" s="39" t="str">
        <f t="shared" si="61"/>
        <v/>
      </c>
      <c r="BF34" s="39" t="str">
        <f t="shared" si="61"/>
        <v/>
      </c>
      <c r="BG34" s="39" t="str">
        <f t="shared" si="61"/>
        <v/>
      </c>
      <c r="BH34" s="39" t="str">
        <f t="shared" si="61"/>
        <v/>
      </c>
      <c r="BI34" s="39" t="str">
        <f t="shared" si="61"/>
        <v/>
      </c>
      <c r="BJ34" s="39" t="str">
        <f t="shared" si="61"/>
        <v/>
      </c>
      <c r="BK34" s="39" t="str">
        <f t="shared" si="61"/>
        <v/>
      </c>
      <c r="BL34" s="39" t="str">
        <f t="shared" si="61"/>
        <v/>
      </c>
      <c r="BM34" s="39" t="str">
        <f t="shared" si="61"/>
        <v/>
      </c>
      <c r="BN34" s="39" t="str">
        <f t="shared" si="61"/>
        <v/>
      </c>
      <c r="BO34" s="39" t="str">
        <f t="shared" si="62"/>
        <v/>
      </c>
      <c r="BP34" s="39" t="str">
        <f t="shared" si="62"/>
        <v/>
      </c>
      <c r="BQ34" s="39" t="str">
        <f t="shared" si="62"/>
        <v/>
      </c>
      <c r="BR34" s="39" t="str">
        <f t="shared" si="62"/>
        <v/>
      </c>
      <c r="BS34" s="39" t="str">
        <f t="shared" si="62"/>
        <v/>
      </c>
      <c r="BT34" s="39" t="str">
        <f t="shared" si="62"/>
        <v/>
      </c>
      <c r="BU34" s="39" t="str">
        <f t="shared" si="62"/>
        <v/>
      </c>
      <c r="BV34" s="39" t="str">
        <f t="shared" si="62"/>
        <v/>
      </c>
      <c r="BW34" s="39" t="str">
        <f t="shared" si="62"/>
        <v/>
      </c>
      <c r="BX34" s="39" t="str">
        <f t="shared" si="62"/>
        <v/>
      </c>
      <c r="BY34" s="39" t="str">
        <f t="shared" si="63"/>
        <v/>
      </c>
      <c r="BZ34" s="39" t="str">
        <f t="shared" si="63"/>
        <v/>
      </c>
      <c r="CA34" s="39" t="str">
        <f t="shared" si="63"/>
        <v/>
      </c>
      <c r="CB34" s="39" t="str">
        <f t="shared" si="63"/>
        <v/>
      </c>
      <c r="CC34" s="39" t="str">
        <f t="shared" si="63"/>
        <v/>
      </c>
      <c r="CD34" s="39" t="str">
        <f t="shared" si="63"/>
        <v/>
      </c>
      <c r="CE34" s="39" t="str">
        <f t="shared" si="63"/>
        <v/>
      </c>
      <c r="CF34" s="39" t="str">
        <f t="shared" si="63"/>
        <v/>
      </c>
      <c r="CG34" s="39" t="str">
        <f t="shared" si="63"/>
        <v/>
      </c>
      <c r="CH34" s="39" t="str">
        <f t="shared" si="63"/>
        <v/>
      </c>
      <c r="CI34" s="39" t="str">
        <f t="shared" si="63"/>
        <v/>
      </c>
      <c r="CJ34" s="39" t="str">
        <f t="shared" si="63"/>
        <v/>
      </c>
      <c r="CK34" s="39" t="str">
        <f t="shared" si="63"/>
        <v/>
      </c>
    </row>
    <row r="35" spans="1:89" ht="18.75" customHeight="1">
      <c r="C35" s="28"/>
      <c r="D35" s="10"/>
      <c r="E35" s="22"/>
      <c r="F35" s="20"/>
      <c r="G35" s="20"/>
      <c r="H35" s="20"/>
      <c r="I35" s="23"/>
      <c r="K35" s="24"/>
      <c r="L35" s="20"/>
      <c r="Q35" s="6"/>
      <c r="R35" s="11"/>
      <c r="S35" s="11"/>
      <c r="T35" s="17"/>
      <c r="U35" s="17"/>
      <c r="V35" s="17"/>
      <c r="W35" s="17"/>
      <c r="X35" s="17"/>
      <c r="Y35" s="17"/>
      <c r="Z35" s="33"/>
      <c r="AA35" s="38" t="str">
        <f t="shared" si="58"/>
        <v/>
      </c>
      <c r="AB35" s="16" t="str">
        <f t="shared" si="58"/>
        <v/>
      </c>
      <c r="AC35" s="16" t="str">
        <f t="shared" si="58"/>
        <v/>
      </c>
      <c r="AD35" s="39" t="str">
        <f t="shared" si="58"/>
        <v/>
      </c>
      <c r="AE35" s="38" t="str">
        <f t="shared" si="58"/>
        <v/>
      </c>
      <c r="AF35" s="16" t="str">
        <f t="shared" si="58"/>
        <v/>
      </c>
      <c r="AG35" s="16" t="str">
        <f t="shared" si="58"/>
        <v/>
      </c>
      <c r="AH35" s="39" t="str">
        <f t="shared" si="58"/>
        <v/>
      </c>
      <c r="AI35" s="38" t="str">
        <f t="shared" si="58"/>
        <v/>
      </c>
      <c r="AJ35" s="16" t="str">
        <f t="shared" si="58"/>
        <v/>
      </c>
      <c r="AK35" s="46" t="str">
        <f t="shared" si="59"/>
        <v/>
      </c>
      <c r="AL35" s="52" t="str">
        <f t="shared" si="59"/>
        <v/>
      </c>
      <c r="AM35" s="49" t="str">
        <f t="shared" si="59"/>
        <v/>
      </c>
      <c r="AN35" s="34" t="str">
        <f t="shared" si="59"/>
        <v/>
      </c>
      <c r="AO35" s="16" t="str">
        <f t="shared" si="59"/>
        <v/>
      </c>
      <c r="AP35" s="16" t="str">
        <f t="shared" si="59"/>
        <v/>
      </c>
      <c r="AQ35" s="39" t="str">
        <f t="shared" si="59"/>
        <v/>
      </c>
      <c r="AR35" s="38" t="str">
        <f t="shared" si="59"/>
        <v/>
      </c>
      <c r="AS35" s="16" t="str">
        <f t="shared" si="59"/>
        <v/>
      </c>
      <c r="AT35" s="16" t="str">
        <f t="shared" si="59"/>
        <v/>
      </c>
      <c r="AU35" s="39" t="str">
        <f t="shared" si="60"/>
        <v/>
      </c>
      <c r="AV35" s="38" t="str">
        <f t="shared" si="60"/>
        <v/>
      </c>
      <c r="AW35" s="16" t="str">
        <f t="shared" si="60"/>
        <v/>
      </c>
      <c r="AX35" s="16" t="str">
        <f t="shared" si="60"/>
        <v/>
      </c>
      <c r="AY35" s="16" t="str">
        <f t="shared" si="60"/>
        <v/>
      </c>
      <c r="AZ35" s="39" t="str">
        <f t="shared" si="60"/>
        <v/>
      </c>
      <c r="BA35" s="39" t="str">
        <f t="shared" si="60"/>
        <v/>
      </c>
      <c r="BB35" s="39" t="str">
        <f t="shared" si="60"/>
        <v/>
      </c>
      <c r="BC35" s="39" t="str">
        <f t="shared" si="60"/>
        <v/>
      </c>
      <c r="BD35" s="39" t="str">
        <f t="shared" si="60"/>
        <v/>
      </c>
      <c r="BE35" s="39" t="str">
        <f t="shared" si="61"/>
        <v/>
      </c>
      <c r="BF35" s="39" t="str">
        <f t="shared" si="61"/>
        <v/>
      </c>
      <c r="BG35" s="39" t="str">
        <f t="shared" si="61"/>
        <v/>
      </c>
      <c r="BH35" s="39" t="str">
        <f t="shared" si="61"/>
        <v/>
      </c>
      <c r="BI35" s="39" t="str">
        <f t="shared" si="61"/>
        <v/>
      </c>
      <c r="BJ35" s="39" t="str">
        <f t="shared" si="61"/>
        <v/>
      </c>
      <c r="BK35" s="39" t="str">
        <f t="shared" si="61"/>
        <v/>
      </c>
      <c r="BL35" s="39" t="str">
        <f t="shared" si="61"/>
        <v/>
      </c>
      <c r="BM35" s="39" t="str">
        <f t="shared" si="61"/>
        <v/>
      </c>
      <c r="BN35" s="39" t="str">
        <f t="shared" si="61"/>
        <v/>
      </c>
      <c r="BO35" s="39" t="str">
        <f t="shared" si="62"/>
        <v/>
      </c>
      <c r="BP35" s="39" t="str">
        <f t="shared" si="62"/>
        <v/>
      </c>
      <c r="BQ35" s="39" t="str">
        <f t="shared" si="62"/>
        <v/>
      </c>
      <c r="BR35" s="39" t="str">
        <f t="shared" si="62"/>
        <v/>
      </c>
      <c r="BS35" s="39" t="str">
        <f t="shared" si="62"/>
        <v/>
      </c>
      <c r="BT35" s="39" t="str">
        <f t="shared" si="62"/>
        <v/>
      </c>
      <c r="BU35" s="39" t="str">
        <f t="shared" si="62"/>
        <v/>
      </c>
      <c r="BV35" s="39" t="str">
        <f t="shared" si="62"/>
        <v/>
      </c>
      <c r="BW35" s="39" t="str">
        <f t="shared" si="62"/>
        <v/>
      </c>
      <c r="BX35" s="39" t="str">
        <f t="shared" si="62"/>
        <v/>
      </c>
      <c r="BY35" s="39" t="str">
        <f t="shared" si="63"/>
        <v/>
      </c>
      <c r="BZ35" s="39" t="str">
        <f t="shared" si="63"/>
        <v/>
      </c>
      <c r="CA35" s="39" t="str">
        <f t="shared" si="63"/>
        <v/>
      </c>
      <c r="CB35" s="39" t="str">
        <f t="shared" si="63"/>
        <v/>
      </c>
      <c r="CC35" s="39" t="str">
        <f t="shared" si="63"/>
        <v/>
      </c>
      <c r="CD35" s="39" t="str">
        <f t="shared" si="63"/>
        <v/>
      </c>
      <c r="CE35" s="39" t="str">
        <f t="shared" si="63"/>
        <v/>
      </c>
      <c r="CF35" s="39" t="str">
        <f t="shared" si="63"/>
        <v/>
      </c>
      <c r="CG35" s="39" t="str">
        <f t="shared" si="63"/>
        <v/>
      </c>
      <c r="CH35" s="39" t="str">
        <f t="shared" si="63"/>
        <v/>
      </c>
      <c r="CI35" s="39" t="str">
        <f t="shared" si="63"/>
        <v/>
      </c>
      <c r="CJ35" s="39" t="str">
        <f t="shared" si="63"/>
        <v/>
      </c>
      <c r="CK35" s="39" t="str">
        <f t="shared" si="63"/>
        <v/>
      </c>
    </row>
    <row r="36" spans="1:89" ht="18.75" customHeight="1">
      <c r="C36" s="19"/>
      <c r="D36" s="9"/>
      <c r="E36" s="22"/>
      <c r="F36" s="20"/>
      <c r="G36" s="20"/>
      <c r="H36" s="20"/>
      <c r="I36" s="23"/>
      <c r="K36" s="24"/>
      <c r="L36" s="20"/>
      <c r="Q36" s="6"/>
      <c r="R36" s="11"/>
      <c r="S36" s="11"/>
      <c r="T36" s="17"/>
      <c r="U36" s="17"/>
      <c r="V36" s="17"/>
      <c r="W36" s="17"/>
      <c r="X36" s="17"/>
      <c r="Y36" s="17"/>
      <c r="Z36" s="33"/>
      <c r="AA36" s="38" t="str">
        <f t="shared" si="58"/>
        <v/>
      </c>
      <c r="AB36" s="16" t="str">
        <f t="shared" si="58"/>
        <v/>
      </c>
      <c r="AC36" s="16" t="str">
        <f t="shared" si="58"/>
        <v/>
      </c>
      <c r="AD36" s="39" t="str">
        <f t="shared" si="58"/>
        <v/>
      </c>
      <c r="AE36" s="38" t="str">
        <f t="shared" si="58"/>
        <v/>
      </c>
      <c r="AF36" s="16" t="str">
        <f t="shared" si="58"/>
        <v/>
      </c>
      <c r="AG36" s="16" t="str">
        <f t="shared" si="58"/>
        <v/>
      </c>
      <c r="AH36" s="39" t="str">
        <f t="shared" si="58"/>
        <v/>
      </c>
      <c r="AI36" s="38" t="str">
        <f t="shared" si="58"/>
        <v/>
      </c>
      <c r="AJ36" s="16" t="str">
        <f t="shared" si="58"/>
        <v/>
      </c>
      <c r="AK36" s="46" t="str">
        <f t="shared" si="59"/>
        <v/>
      </c>
      <c r="AL36" s="52" t="str">
        <f t="shared" si="59"/>
        <v/>
      </c>
      <c r="AM36" s="49" t="str">
        <f t="shared" si="59"/>
        <v/>
      </c>
      <c r="AN36" s="34" t="str">
        <f t="shared" si="59"/>
        <v/>
      </c>
      <c r="AO36" s="16" t="str">
        <f t="shared" si="59"/>
        <v/>
      </c>
      <c r="AP36" s="16" t="str">
        <f t="shared" si="59"/>
        <v/>
      </c>
      <c r="AQ36" s="39" t="str">
        <f t="shared" si="59"/>
        <v/>
      </c>
      <c r="AR36" s="38" t="str">
        <f t="shared" si="59"/>
        <v/>
      </c>
      <c r="AS36" s="16" t="str">
        <f t="shared" si="59"/>
        <v/>
      </c>
      <c r="AT36" s="16" t="str">
        <f t="shared" si="59"/>
        <v/>
      </c>
      <c r="AU36" s="39" t="str">
        <f t="shared" si="60"/>
        <v/>
      </c>
      <c r="AV36" s="38" t="str">
        <f t="shared" si="60"/>
        <v/>
      </c>
      <c r="AW36" s="16" t="str">
        <f t="shared" si="60"/>
        <v/>
      </c>
      <c r="AX36" s="16" t="str">
        <f t="shared" si="60"/>
        <v/>
      </c>
      <c r="AY36" s="16" t="str">
        <f t="shared" si="60"/>
        <v/>
      </c>
      <c r="AZ36" s="39" t="str">
        <f t="shared" si="60"/>
        <v/>
      </c>
      <c r="BA36" s="39" t="str">
        <f t="shared" si="60"/>
        <v/>
      </c>
      <c r="BB36" s="39" t="str">
        <f t="shared" si="60"/>
        <v/>
      </c>
      <c r="BC36" s="39" t="str">
        <f t="shared" si="60"/>
        <v/>
      </c>
      <c r="BD36" s="39" t="str">
        <f t="shared" si="60"/>
        <v/>
      </c>
      <c r="BE36" s="39" t="str">
        <f t="shared" si="61"/>
        <v/>
      </c>
      <c r="BF36" s="39" t="str">
        <f t="shared" si="61"/>
        <v/>
      </c>
      <c r="BG36" s="39" t="str">
        <f t="shared" si="61"/>
        <v/>
      </c>
      <c r="BH36" s="39" t="str">
        <f t="shared" si="61"/>
        <v/>
      </c>
      <c r="BI36" s="39" t="str">
        <f t="shared" si="61"/>
        <v/>
      </c>
      <c r="BJ36" s="39" t="str">
        <f t="shared" si="61"/>
        <v/>
      </c>
      <c r="BK36" s="39" t="str">
        <f t="shared" si="61"/>
        <v/>
      </c>
      <c r="BL36" s="39" t="str">
        <f t="shared" si="61"/>
        <v/>
      </c>
      <c r="BM36" s="39" t="str">
        <f t="shared" si="61"/>
        <v/>
      </c>
      <c r="BN36" s="39" t="str">
        <f t="shared" si="61"/>
        <v/>
      </c>
      <c r="BO36" s="39" t="str">
        <f t="shared" si="62"/>
        <v/>
      </c>
      <c r="BP36" s="39" t="str">
        <f t="shared" si="62"/>
        <v/>
      </c>
      <c r="BQ36" s="39" t="str">
        <f t="shared" si="62"/>
        <v/>
      </c>
      <c r="BR36" s="39" t="str">
        <f t="shared" si="62"/>
        <v/>
      </c>
      <c r="BS36" s="39" t="str">
        <f t="shared" si="62"/>
        <v/>
      </c>
      <c r="BT36" s="39" t="str">
        <f t="shared" si="62"/>
        <v/>
      </c>
      <c r="BU36" s="39" t="str">
        <f t="shared" si="62"/>
        <v/>
      </c>
      <c r="BV36" s="39" t="str">
        <f t="shared" si="62"/>
        <v/>
      </c>
      <c r="BW36" s="39" t="str">
        <f t="shared" si="62"/>
        <v/>
      </c>
      <c r="BX36" s="39" t="str">
        <f t="shared" si="62"/>
        <v/>
      </c>
      <c r="BY36" s="39" t="str">
        <f t="shared" si="63"/>
        <v/>
      </c>
      <c r="BZ36" s="39" t="str">
        <f t="shared" si="63"/>
        <v/>
      </c>
      <c r="CA36" s="39" t="str">
        <f t="shared" si="63"/>
        <v/>
      </c>
      <c r="CB36" s="39" t="str">
        <f t="shared" si="63"/>
        <v/>
      </c>
      <c r="CC36" s="39" t="str">
        <f t="shared" si="63"/>
        <v/>
      </c>
      <c r="CD36" s="39" t="str">
        <f t="shared" si="63"/>
        <v/>
      </c>
      <c r="CE36" s="39" t="str">
        <f t="shared" si="63"/>
        <v/>
      </c>
      <c r="CF36" s="39" t="str">
        <f t="shared" si="63"/>
        <v/>
      </c>
      <c r="CG36" s="39" t="str">
        <f t="shared" si="63"/>
        <v/>
      </c>
      <c r="CH36" s="39" t="str">
        <f t="shared" si="63"/>
        <v/>
      </c>
      <c r="CI36" s="39" t="str">
        <f t="shared" si="63"/>
        <v/>
      </c>
      <c r="CJ36" s="39" t="str">
        <f t="shared" si="63"/>
        <v/>
      </c>
      <c r="CK36" s="39" t="str">
        <f t="shared" si="63"/>
        <v/>
      </c>
    </row>
    <row r="37" spans="1:89" ht="18.75" customHeight="1">
      <c r="C37" s="28"/>
      <c r="D37" s="10"/>
      <c r="E37" s="22"/>
      <c r="F37" s="20"/>
      <c r="G37" s="20"/>
      <c r="H37" s="20"/>
      <c r="I37" s="23"/>
      <c r="K37" s="24"/>
      <c r="L37" s="28"/>
      <c r="Q37" s="6"/>
      <c r="R37" s="11"/>
      <c r="S37" s="11"/>
      <c r="T37" s="17"/>
      <c r="U37" s="17"/>
      <c r="V37" s="17"/>
      <c r="W37" s="17"/>
      <c r="X37" s="17"/>
      <c r="Y37" s="17"/>
      <c r="Z37" s="33"/>
      <c r="AA37" s="38" t="str">
        <f t="shared" si="58"/>
        <v/>
      </c>
      <c r="AB37" s="16" t="str">
        <f t="shared" si="58"/>
        <v/>
      </c>
      <c r="AC37" s="16" t="str">
        <f t="shared" si="58"/>
        <v/>
      </c>
      <c r="AD37" s="39" t="str">
        <f t="shared" si="58"/>
        <v/>
      </c>
      <c r="AE37" s="38" t="str">
        <f t="shared" si="58"/>
        <v/>
      </c>
      <c r="AF37" s="16" t="str">
        <f t="shared" si="58"/>
        <v/>
      </c>
      <c r="AG37" s="16" t="str">
        <f t="shared" si="58"/>
        <v/>
      </c>
      <c r="AH37" s="39" t="str">
        <f t="shared" si="58"/>
        <v/>
      </c>
      <c r="AI37" s="38" t="str">
        <f t="shared" si="58"/>
        <v/>
      </c>
      <c r="AJ37" s="16" t="str">
        <f t="shared" si="58"/>
        <v/>
      </c>
      <c r="AK37" s="46" t="str">
        <f t="shared" si="59"/>
        <v/>
      </c>
      <c r="AL37" s="52" t="str">
        <f t="shared" si="59"/>
        <v/>
      </c>
      <c r="AM37" s="49" t="str">
        <f t="shared" si="59"/>
        <v/>
      </c>
      <c r="AN37" s="34" t="str">
        <f t="shared" si="59"/>
        <v/>
      </c>
      <c r="AO37" s="16" t="str">
        <f t="shared" si="59"/>
        <v/>
      </c>
      <c r="AP37" s="16" t="str">
        <f t="shared" si="59"/>
        <v/>
      </c>
      <c r="AQ37" s="39" t="str">
        <f t="shared" si="59"/>
        <v/>
      </c>
      <c r="AR37" s="38" t="str">
        <f t="shared" si="59"/>
        <v/>
      </c>
      <c r="AS37" s="16" t="str">
        <f t="shared" si="59"/>
        <v/>
      </c>
      <c r="AT37" s="16" t="str">
        <f t="shared" si="59"/>
        <v/>
      </c>
      <c r="AU37" s="39" t="str">
        <f t="shared" si="60"/>
        <v/>
      </c>
      <c r="AV37" s="38" t="str">
        <f t="shared" si="60"/>
        <v/>
      </c>
      <c r="AW37" s="16" t="str">
        <f t="shared" si="60"/>
        <v/>
      </c>
      <c r="AX37" s="16" t="str">
        <f t="shared" si="60"/>
        <v/>
      </c>
      <c r="AY37" s="16" t="str">
        <f t="shared" si="60"/>
        <v/>
      </c>
      <c r="AZ37" s="39" t="str">
        <f t="shared" si="60"/>
        <v/>
      </c>
      <c r="BA37" s="39" t="str">
        <f t="shared" si="60"/>
        <v/>
      </c>
      <c r="BB37" s="39" t="str">
        <f t="shared" si="60"/>
        <v/>
      </c>
      <c r="BC37" s="39" t="str">
        <f t="shared" si="60"/>
        <v/>
      </c>
      <c r="BD37" s="39" t="str">
        <f t="shared" si="60"/>
        <v/>
      </c>
      <c r="BE37" s="39" t="str">
        <f t="shared" si="61"/>
        <v/>
      </c>
      <c r="BF37" s="39" t="str">
        <f t="shared" si="61"/>
        <v/>
      </c>
      <c r="BG37" s="39" t="str">
        <f t="shared" si="61"/>
        <v/>
      </c>
      <c r="BH37" s="39" t="str">
        <f t="shared" si="61"/>
        <v/>
      </c>
      <c r="BI37" s="39" t="str">
        <f t="shared" si="61"/>
        <v/>
      </c>
      <c r="BJ37" s="39" t="str">
        <f t="shared" si="61"/>
        <v/>
      </c>
      <c r="BK37" s="39" t="str">
        <f t="shared" si="61"/>
        <v/>
      </c>
      <c r="BL37" s="39" t="str">
        <f t="shared" si="61"/>
        <v/>
      </c>
      <c r="BM37" s="39" t="str">
        <f t="shared" si="61"/>
        <v/>
      </c>
      <c r="BN37" s="39" t="str">
        <f t="shared" si="61"/>
        <v/>
      </c>
      <c r="BO37" s="39" t="str">
        <f t="shared" si="62"/>
        <v/>
      </c>
      <c r="BP37" s="39" t="str">
        <f t="shared" si="62"/>
        <v/>
      </c>
      <c r="BQ37" s="39" t="str">
        <f t="shared" si="62"/>
        <v/>
      </c>
      <c r="BR37" s="39" t="str">
        <f t="shared" si="62"/>
        <v/>
      </c>
      <c r="BS37" s="39" t="str">
        <f t="shared" si="62"/>
        <v/>
      </c>
      <c r="BT37" s="39" t="str">
        <f t="shared" si="62"/>
        <v/>
      </c>
      <c r="BU37" s="39" t="str">
        <f t="shared" si="62"/>
        <v/>
      </c>
      <c r="BV37" s="39" t="str">
        <f t="shared" si="62"/>
        <v/>
      </c>
      <c r="BW37" s="39" t="str">
        <f t="shared" si="62"/>
        <v/>
      </c>
      <c r="BX37" s="39" t="str">
        <f t="shared" si="62"/>
        <v/>
      </c>
      <c r="BY37" s="39" t="str">
        <f t="shared" si="63"/>
        <v/>
      </c>
      <c r="BZ37" s="39" t="str">
        <f t="shared" si="63"/>
        <v/>
      </c>
      <c r="CA37" s="39" t="str">
        <f t="shared" si="63"/>
        <v/>
      </c>
      <c r="CB37" s="39" t="str">
        <f t="shared" si="63"/>
        <v/>
      </c>
      <c r="CC37" s="39" t="str">
        <f t="shared" si="63"/>
        <v/>
      </c>
      <c r="CD37" s="39" t="str">
        <f t="shared" si="63"/>
        <v/>
      </c>
      <c r="CE37" s="39" t="str">
        <f t="shared" si="63"/>
        <v/>
      </c>
      <c r="CF37" s="39" t="str">
        <f t="shared" si="63"/>
        <v/>
      </c>
      <c r="CG37" s="39" t="str">
        <f t="shared" si="63"/>
        <v/>
      </c>
      <c r="CH37" s="39" t="str">
        <f t="shared" si="63"/>
        <v/>
      </c>
      <c r="CI37" s="39" t="str">
        <f t="shared" si="63"/>
        <v/>
      </c>
      <c r="CJ37" s="39" t="str">
        <f t="shared" si="63"/>
        <v/>
      </c>
      <c r="CK37" s="39" t="str">
        <f t="shared" si="63"/>
        <v/>
      </c>
    </row>
    <row r="38" spans="1:89" ht="18.75" customHeight="1">
      <c r="C38" s="28"/>
      <c r="D38" s="10"/>
      <c r="E38" s="22"/>
      <c r="F38" s="20"/>
      <c r="G38" s="20"/>
      <c r="H38" s="20"/>
      <c r="I38" s="23"/>
      <c r="K38" s="24"/>
      <c r="L38" s="28"/>
      <c r="Q38" s="6"/>
      <c r="R38" s="11"/>
      <c r="S38" s="11"/>
      <c r="T38" s="17"/>
      <c r="U38" s="17"/>
      <c r="V38" s="17"/>
      <c r="W38" s="17"/>
      <c r="X38" s="17"/>
      <c r="Y38" s="17"/>
      <c r="Z38" s="33"/>
      <c r="AA38" s="38" t="str">
        <f t="shared" si="58"/>
        <v/>
      </c>
      <c r="AB38" s="16" t="str">
        <f t="shared" si="58"/>
        <v/>
      </c>
      <c r="AC38" s="16" t="str">
        <f t="shared" si="58"/>
        <v/>
      </c>
      <c r="AD38" s="39" t="str">
        <f t="shared" si="58"/>
        <v/>
      </c>
      <c r="AE38" s="38" t="str">
        <f t="shared" si="58"/>
        <v/>
      </c>
      <c r="AF38" s="16" t="str">
        <f t="shared" si="58"/>
        <v/>
      </c>
      <c r="AG38" s="16" t="str">
        <f t="shared" si="58"/>
        <v/>
      </c>
      <c r="AH38" s="39" t="str">
        <f t="shared" si="58"/>
        <v/>
      </c>
      <c r="AI38" s="38" t="str">
        <f t="shared" si="58"/>
        <v/>
      </c>
      <c r="AJ38" s="16" t="str">
        <f t="shared" si="58"/>
        <v/>
      </c>
      <c r="AK38" s="46" t="str">
        <f t="shared" si="59"/>
        <v/>
      </c>
      <c r="AL38" s="52" t="str">
        <f t="shared" si="59"/>
        <v/>
      </c>
      <c r="AM38" s="49" t="str">
        <f t="shared" si="59"/>
        <v/>
      </c>
      <c r="AN38" s="34" t="str">
        <f t="shared" si="59"/>
        <v/>
      </c>
      <c r="AO38" s="16" t="str">
        <f t="shared" si="59"/>
        <v/>
      </c>
      <c r="AP38" s="16" t="str">
        <f t="shared" si="59"/>
        <v/>
      </c>
      <c r="AQ38" s="39" t="str">
        <f t="shared" si="59"/>
        <v/>
      </c>
      <c r="AR38" s="38" t="str">
        <f t="shared" si="59"/>
        <v/>
      </c>
      <c r="AS38" s="16" t="str">
        <f t="shared" si="59"/>
        <v/>
      </c>
      <c r="AT38" s="16" t="str">
        <f t="shared" si="59"/>
        <v/>
      </c>
      <c r="AU38" s="39" t="str">
        <f t="shared" si="60"/>
        <v/>
      </c>
      <c r="AV38" s="38" t="str">
        <f t="shared" si="60"/>
        <v/>
      </c>
      <c r="AW38" s="16" t="str">
        <f t="shared" si="60"/>
        <v/>
      </c>
      <c r="AX38" s="16" t="str">
        <f t="shared" si="60"/>
        <v/>
      </c>
      <c r="AY38" s="16" t="str">
        <f t="shared" si="60"/>
        <v/>
      </c>
      <c r="AZ38" s="39" t="str">
        <f t="shared" si="60"/>
        <v/>
      </c>
      <c r="BA38" s="39" t="str">
        <f t="shared" si="60"/>
        <v/>
      </c>
      <c r="BB38" s="39" t="str">
        <f t="shared" si="60"/>
        <v/>
      </c>
      <c r="BC38" s="39" t="str">
        <f t="shared" si="60"/>
        <v/>
      </c>
      <c r="BD38" s="39" t="str">
        <f t="shared" si="60"/>
        <v/>
      </c>
      <c r="BE38" s="39" t="str">
        <f t="shared" si="61"/>
        <v/>
      </c>
      <c r="BF38" s="39" t="str">
        <f t="shared" si="61"/>
        <v/>
      </c>
      <c r="BG38" s="39" t="str">
        <f t="shared" si="61"/>
        <v/>
      </c>
      <c r="BH38" s="39" t="str">
        <f t="shared" si="61"/>
        <v/>
      </c>
      <c r="BI38" s="39" t="str">
        <f t="shared" si="61"/>
        <v/>
      </c>
      <c r="BJ38" s="39" t="str">
        <f t="shared" si="61"/>
        <v/>
      </c>
      <c r="BK38" s="39" t="str">
        <f t="shared" si="61"/>
        <v/>
      </c>
      <c r="BL38" s="39" t="str">
        <f t="shared" si="61"/>
        <v/>
      </c>
      <c r="BM38" s="39" t="str">
        <f t="shared" si="61"/>
        <v/>
      </c>
      <c r="BN38" s="39" t="str">
        <f t="shared" si="61"/>
        <v/>
      </c>
      <c r="BO38" s="39" t="str">
        <f t="shared" si="62"/>
        <v/>
      </c>
      <c r="BP38" s="39" t="str">
        <f t="shared" si="62"/>
        <v/>
      </c>
      <c r="BQ38" s="39" t="str">
        <f t="shared" si="62"/>
        <v/>
      </c>
      <c r="BR38" s="39" t="str">
        <f t="shared" si="62"/>
        <v/>
      </c>
      <c r="BS38" s="39" t="str">
        <f t="shared" si="62"/>
        <v/>
      </c>
      <c r="BT38" s="39" t="str">
        <f t="shared" si="62"/>
        <v/>
      </c>
      <c r="BU38" s="39" t="str">
        <f t="shared" si="62"/>
        <v/>
      </c>
      <c r="BV38" s="39" t="str">
        <f t="shared" si="62"/>
        <v/>
      </c>
      <c r="BW38" s="39" t="str">
        <f t="shared" si="62"/>
        <v/>
      </c>
      <c r="BX38" s="39" t="str">
        <f t="shared" si="62"/>
        <v/>
      </c>
      <c r="BY38" s="39" t="str">
        <f t="shared" si="63"/>
        <v/>
      </c>
      <c r="BZ38" s="39" t="str">
        <f t="shared" si="63"/>
        <v/>
      </c>
      <c r="CA38" s="39" t="str">
        <f t="shared" si="63"/>
        <v/>
      </c>
      <c r="CB38" s="39" t="str">
        <f t="shared" si="63"/>
        <v/>
      </c>
      <c r="CC38" s="39" t="str">
        <f t="shared" si="63"/>
        <v/>
      </c>
      <c r="CD38" s="39" t="str">
        <f t="shared" si="63"/>
        <v/>
      </c>
      <c r="CE38" s="39" t="str">
        <f t="shared" si="63"/>
        <v/>
      </c>
      <c r="CF38" s="39" t="str">
        <f t="shared" si="63"/>
        <v/>
      </c>
      <c r="CG38" s="39" t="str">
        <f t="shared" si="63"/>
        <v/>
      </c>
      <c r="CH38" s="39" t="str">
        <f t="shared" si="63"/>
        <v/>
      </c>
      <c r="CI38" s="39" t="str">
        <f t="shared" si="63"/>
        <v/>
      </c>
      <c r="CJ38" s="39" t="str">
        <f t="shared" si="63"/>
        <v/>
      </c>
      <c r="CK38" s="39" t="str">
        <f t="shared" si="63"/>
        <v/>
      </c>
    </row>
    <row r="39" spans="1:89" ht="18.75" customHeight="1">
      <c r="C39" s="28"/>
      <c r="D39" s="10"/>
      <c r="E39" s="22"/>
      <c r="F39" s="20"/>
      <c r="G39" s="20"/>
      <c r="H39" s="20"/>
      <c r="I39" s="23"/>
      <c r="K39" s="24"/>
      <c r="L39" s="28"/>
      <c r="Q39" s="6"/>
      <c r="R39" s="11"/>
      <c r="S39" s="11"/>
      <c r="T39" s="17"/>
      <c r="U39" s="17"/>
      <c r="V39" s="17"/>
      <c r="W39" s="17"/>
      <c r="X39" s="17"/>
      <c r="Y39" s="17"/>
      <c r="Z39" s="33"/>
      <c r="AA39" s="38" t="str">
        <f t="shared" si="58"/>
        <v/>
      </c>
      <c r="AB39" s="16" t="str">
        <f t="shared" si="58"/>
        <v/>
      </c>
      <c r="AC39" s="16" t="str">
        <f t="shared" si="58"/>
        <v/>
      </c>
      <c r="AD39" s="39" t="str">
        <f t="shared" si="58"/>
        <v/>
      </c>
      <c r="AE39" s="38" t="str">
        <f t="shared" si="58"/>
        <v/>
      </c>
      <c r="AF39" s="16" t="str">
        <f t="shared" si="58"/>
        <v/>
      </c>
      <c r="AG39" s="16" t="str">
        <f t="shared" si="58"/>
        <v/>
      </c>
      <c r="AH39" s="39" t="str">
        <f t="shared" si="58"/>
        <v/>
      </c>
      <c r="AI39" s="38" t="str">
        <f t="shared" si="58"/>
        <v/>
      </c>
      <c r="AJ39" s="16" t="str">
        <f t="shared" si="58"/>
        <v/>
      </c>
      <c r="AK39" s="46" t="str">
        <f t="shared" si="59"/>
        <v/>
      </c>
      <c r="AL39" s="52" t="str">
        <f t="shared" si="59"/>
        <v/>
      </c>
      <c r="AM39" s="49" t="str">
        <f t="shared" si="59"/>
        <v/>
      </c>
      <c r="AN39" s="34" t="str">
        <f t="shared" si="59"/>
        <v/>
      </c>
      <c r="AO39" s="16" t="str">
        <f t="shared" si="59"/>
        <v/>
      </c>
      <c r="AP39" s="16" t="str">
        <f t="shared" si="59"/>
        <v/>
      </c>
      <c r="AQ39" s="39" t="str">
        <f t="shared" si="59"/>
        <v/>
      </c>
      <c r="AR39" s="38" t="str">
        <f t="shared" si="59"/>
        <v/>
      </c>
      <c r="AS39" s="16" t="str">
        <f t="shared" si="59"/>
        <v/>
      </c>
      <c r="AT39" s="16" t="str">
        <f t="shared" si="59"/>
        <v/>
      </c>
      <c r="AU39" s="39" t="str">
        <f t="shared" si="60"/>
        <v/>
      </c>
      <c r="AV39" s="38" t="str">
        <f t="shared" si="60"/>
        <v/>
      </c>
      <c r="AW39" s="16" t="str">
        <f t="shared" si="60"/>
        <v/>
      </c>
      <c r="AX39" s="16" t="str">
        <f t="shared" si="60"/>
        <v/>
      </c>
      <c r="AY39" s="16" t="str">
        <f t="shared" si="60"/>
        <v/>
      </c>
      <c r="AZ39" s="39" t="str">
        <f t="shared" si="60"/>
        <v/>
      </c>
      <c r="BA39" s="39" t="str">
        <f t="shared" si="60"/>
        <v/>
      </c>
      <c r="BB39" s="39" t="str">
        <f t="shared" si="60"/>
        <v/>
      </c>
      <c r="BC39" s="39" t="str">
        <f t="shared" si="60"/>
        <v/>
      </c>
      <c r="BD39" s="39" t="str">
        <f t="shared" si="60"/>
        <v/>
      </c>
      <c r="BE39" s="39" t="str">
        <f t="shared" si="61"/>
        <v/>
      </c>
      <c r="BF39" s="39" t="str">
        <f t="shared" si="61"/>
        <v/>
      </c>
      <c r="BG39" s="39" t="str">
        <f t="shared" si="61"/>
        <v/>
      </c>
      <c r="BH39" s="39" t="str">
        <f t="shared" si="61"/>
        <v/>
      </c>
      <c r="BI39" s="39" t="str">
        <f t="shared" si="61"/>
        <v/>
      </c>
      <c r="BJ39" s="39" t="str">
        <f t="shared" si="61"/>
        <v/>
      </c>
      <c r="BK39" s="39" t="str">
        <f t="shared" si="61"/>
        <v/>
      </c>
      <c r="BL39" s="39" t="str">
        <f t="shared" si="61"/>
        <v/>
      </c>
      <c r="BM39" s="39" t="str">
        <f t="shared" si="61"/>
        <v/>
      </c>
      <c r="BN39" s="39" t="str">
        <f t="shared" si="61"/>
        <v/>
      </c>
      <c r="BO39" s="39" t="str">
        <f t="shared" si="62"/>
        <v/>
      </c>
      <c r="BP39" s="39" t="str">
        <f t="shared" si="62"/>
        <v/>
      </c>
      <c r="BQ39" s="39" t="str">
        <f t="shared" si="62"/>
        <v/>
      </c>
      <c r="BR39" s="39" t="str">
        <f t="shared" si="62"/>
        <v/>
      </c>
      <c r="BS39" s="39" t="str">
        <f t="shared" si="62"/>
        <v/>
      </c>
      <c r="BT39" s="39" t="str">
        <f t="shared" si="62"/>
        <v/>
      </c>
      <c r="BU39" s="39" t="str">
        <f t="shared" si="62"/>
        <v/>
      </c>
      <c r="BV39" s="39" t="str">
        <f t="shared" si="62"/>
        <v/>
      </c>
      <c r="BW39" s="39" t="str">
        <f t="shared" si="62"/>
        <v/>
      </c>
      <c r="BX39" s="39" t="str">
        <f t="shared" si="62"/>
        <v/>
      </c>
      <c r="BY39" s="39" t="str">
        <f t="shared" si="63"/>
        <v/>
      </c>
      <c r="BZ39" s="39" t="str">
        <f t="shared" si="63"/>
        <v/>
      </c>
      <c r="CA39" s="39" t="str">
        <f t="shared" si="63"/>
        <v/>
      </c>
      <c r="CB39" s="39" t="str">
        <f t="shared" si="63"/>
        <v/>
      </c>
      <c r="CC39" s="39" t="str">
        <f t="shared" si="63"/>
        <v/>
      </c>
      <c r="CD39" s="39" t="str">
        <f t="shared" si="63"/>
        <v/>
      </c>
      <c r="CE39" s="39" t="str">
        <f t="shared" si="63"/>
        <v/>
      </c>
      <c r="CF39" s="39" t="str">
        <f t="shared" si="63"/>
        <v/>
      </c>
      <c r="CG39" s="39" t="str">
        <f t="shared" si="63"/>
        <v/>
      </c>
      <c r="CH39" s="39" t="str">
        <f t="shared" si="63"/>
        <v/>
      </c>
      <c r="CI39" s="39" t="str">
        <f t="shared" si="63"/>
        <v/>
      </c>
      <c r="CJ39" s="39" t="str">
        <f t="shared" si="63"/>
        <v/>
      </c>
      <c r="CK39" s="39" t="str">
        <f t="shared" si="63"/>
        <v/>
      </c>
    </row>
    <row r="40" spans="1:89" ht="18.75" customHeight="1">
      <c r="C40" s="26"/>
      <c r="D40" s="32"/>
      <c r="E40" s="31"/>
      <c r="F40" s="20"/>
      <c r="G40" s="20"/>
      <c r="H40" s="20"/>
      <c r="I40" s="31"/>
      <c r="K40" s="24"/>
      <c r="L40" s="28"/>
      <c r="Q40" s="6"/>
      <c r="R40" s="11"/>
      <c r="S40" s="11"/>
      <c r="T40" s="17"/>
      <c r="U40" s="17"/>
      <c r="V40" s="17"/>
      <c r="W40" s="17"/>
      <c r="X40" s="17"/>
      <c r="Y40" s="17"/>
      <c r="Z40" s="33"/>
      <c r="AA40" s="38" t="str">
        <f t="shared" si="58"/>
        <v/>
      </c>
      <c r="AB40" s="16" t="str">
        <f t="shared" si="58"/>
        <v/>
      </c>
      <c r="AC40" s="16" t="str">
        <f t="shared" si="58"/>
        <v/>
      </c>
      <c r="AD40" s="39" t="str">
        <f t="shared" si="58"/>
        <v/>
      </c>
      <c r="AE40" s="38" t="str">
        <f t="shared" si="58"/>
        <v/>
      </c>
      <c r="AF40" s="16" t="str">
        <f t="shared" si="58"/>
        <v/>
      </c>
      <c r="AG40" s="16" t="str">
        <f t="shared" si="58"/>
        <v/>
      </c>
      <c r="AH40" s="39" t="str">
        <f t="shared" si="58"/>
        <v/>
      </c>
      <c r="AI40" s="38" t="str">
        <f t="shared" si="58"/>
        <v/>
      </c>
      <c r="AJ40" s="16" t="str">
        <f t="shared" si="58"/>
        <v/>
      </c>
      <c r="AK40" s="46" t="str">
        <f t="shared" si="59"/>
        <v/>
      </c>
      <c r="AL40" s="52" t="str">
        <f t="shared" si="59"/>
        <v/>
      </c>
      <c r="AM40" s="49" t="str">
        <f t="shared" si="59"/>
        <v/>
      </c>
      <c r="AN40" s="34" t="str">
        <f t="shared" si="59"/>
        <v/>
      </c>
      <c r="AO40" s="16" t="str">
        <f t="shared" si="59"/>
        <v/>
      </c>
      <c r="AP40" s="16" t="str">
        <f t="shared" si="59"/>
        <v/>
      </c>
      <c r="AQ40" s="39" t="str">
        <f t="shared" si="59"/>
        <v/>
      </c>
      <c r="AR40" s="38" t="str">
        <f t="shared" si="59"/>
        <v/>
      </c>
      <c r="AS40" s="16" t="str">
        <f t="shared" si="59"/>
        <v/>
      </c>
      <c r="AT40" s="16" t="str">
        <f t="shared" si="59"/>
        <v/>
      </c>
      <c r="AU40" s="39" t="str">
        <f t="shared" si="60"/>
        <v/>
      </c>
      <c r="AV40" s="38" t="str">
        <f t="shared" si="60"/>
        <v/>
      </c>
      <c r="AW40" s="16" t="str">
        <f t="shared" si="60"/>
        <v/>
      </c>
      <c r="AX40" s="16" t="str">
        <f t="shared" si="60"/>
        <v/>
      </c>
      <c r="AY40" s="16" t="str">
        <f t="shared" si="60"/>
        <v/>
      </c>
      <c r="AZ40" s="39" t="str">
        <f t="shared" si="60"/>
        <v/>
      </c>
      <c r="BA40" s="39" t="str">
        <f t="shared" si="60"/>
        <v/>
      </c>
      <c r="BB40" s="39" t="str">
        <f t="shared" si="60"/>
        <v/>
      </c>
      <c r="BC40" s="39" t="str">
        <f t="shared" si="60"/>
        <v/>
      </c>
      <c r="BD40" s="39" t="str">
        <f t="shared" si="60"/>
        <v/>
      </c>
      <c r="BE40" s="39" t="str">
        <f t="shared" si="61"/>
        <v/>
      </c>
      <c r="BF40" s="39" t="str">
        <f t="shared" si="61"/>
        <v/>
      </c>
      <c r="BG40" s="39" t="str">
        <f t="shared" si="61"/>
        <v/>
      </c>
      <c r="BH40" s="39" t="str">
        <f t="shared" si="61"/>
        <v/>
      </c>
      <c r="BI40" s="39" t="str">
        <f t="shared" si="61"/>
        <v/>
      </c>
      <c r="BJ40" s="39" t="str">
        <f t="shared" si="61"/>
        <v/>
      </c>
      <c r="BK40" s="39" t="str">
        <f t="shared" si="61"/>
        <v/>
      </c>
      <c r="BL40" s="39" t="str">
        <f t="shared" si="61"/>
        <v/>
      </c>
      <c r="BM40" s="39" t="str">
        <f t="shared" si="61"/>
        <v/>
      </c>
      <c r="BN40" s="39" t="str">
        <f t="shared" si="61"/>
        <v/>
      </c>
      <c r="BO40" s="39" t="str">
        <f t="shared" si="62"/>
        <v/>
      </c>
      <c r="BP40" s="39" t="str">
        <f t="shared" si="62"/>
        <v/>
      </c>
      <c r="BQ40" s="39" t="str">
        <f t="shared" si="62"/>
        <v/>
      </c>
      <c r="BR40" s="39" t="str">
        <f t="shared" si="62"/>
        <v/>
      </c>
      <c r="BS40" s="39" t="str">
        <f t="shared" si="62"/>
        <v/>
      </c>
      <c r="BT40" s="39" t="str">
        <f t="shared" si="62"/>
        <v/>
      </c>
      <c r="BU40" s="39" t="str">
        <f t="shared" si="62"/>
        <v/>
      </c>
      <c r="BV40" s="39" t="str">
        <f t="shared" si="62"/>
        <v/>
      </c>
      <c r="BW40" s="39" t="str">
        <f t="shared" si="62"/>
        <v/>
      </c>
      <c r="BX40" s="39" t="str">
        <f t="shared" si="62"/>
        <v/>
      </c>
      <c r="BY40" s="39" t="str">
        <f t="shared" si="63"/>
        <v/>
      </c>
      <c r="BZ40" s="39" t="str">
        <f t="shared" si="63"/>
        <v/>
      </c>
      <c r="CA40" s="39" t="str">
        <f t="shared" si="63"/>
        <v/>
      </c>
      <c r="CB40" s="39" t="str">
        <f t="shared" si="63"/>
        <v/>
      </c>
      <c r="CC40" s="39" t="str">
        <f t="shared" si="63"/>
        <v/>
      </c>
      <c r="CD40" s="39" t="str">
        <f t="shared" si="63"/>
        <v/>
      </c>
      <c r="CE40" s="39" t="str">
        <f t="shared" si="63"/>
        <v/>
      </c>
      <c r="CF40" s="39" t="str">
        <f t="shared" si="63"/>
        <v/>
      </c>
      <c r="CG40" s="39" t="str">
        <f t="shared" si="63"/>
        <v/>
      </c>
      <c r="CH40" s="39" t="str">
        <f t="shared" si="63"/>
        <v/>
      </c>
      <c r="CI40" s="39" t="str">
        <f t="shared" si="63"/>
        <v/>
      </c>
      <c r="CJ40" s="39" t="str">
        <f t="shared" si="63"/>
        <v/>
      </c>
      <c r="CK40" s="39" t="str">
        <f t="shared" si="63"/>
        <v/>
      </c>
    </row>
    <row r="41" spans="1:89" ht="18.75" customHeight="1">
      <c r="C41" s="19"/>
      <c r="D41" s="9"/>
      <c r="E41" s="22"/>
      <c r="F41" s="20"/>
      <c r="G41" s="20"/>
      <c r="H41" s="20"/>
      <c r="I41" s="23"/>
      <c r="K41" s="24"/>
      <c r="L41" s="20"/>
      <c r="Q41" s="6"/>
      <c r="R41" s="11"/>
      <c r="S41" s="11"/>
      <c r="T41" s="17"/>
      <c r="U41" s="17"/>
      <c r="V41" s="17"/>
      <c r="W41" s="17"/>
      <c r="X41" s="17"/>
      <c r="Y41" s="17"/>
      <c r="Z41" s="33"/>
      <c r="AA41" s="38" t="str">
        <f t="shared" si="58"/>
        <v/>
      </c>
      <c r="AB41" s="16" t="str">
        <f t="shared" si="58"/>
        <v/>
      </c>
      <c r="AC41" s="16" t="str">
        <f t="shared" si="58"/>
        <v/>
      </c>
      <c r="AD41" s="39" t="str">
        <f t="shared" si="58"/>
        <v/>
      </c>
      <c r="AE41" s="38" t="str">
        <f t="shared" si="58"/>
        <v/>
      </c>
      <c r="AF41" s="16" t="str">
        <f t="shared" si="58"/>
        <v/>
      </c>
      <c r="AG41" s="16" t="str">
        <f t="shared" si="58"/>
        <v/>
      </c>
      <c r="AH41" s="39" t="str">
        <f t="shared" si="58"/>
        <v/>
      </c>
      <c r="AI41" s="38" t="str">
        <f t="shared" si="58"/>
        <v/>
      </c>
      <c r="AJ41" s="16" t="str">
        <f t="shared" si="58"/>
        <v/>
      </c>
      <c r="AK41" s="46" t="str">
        <f t="shared" si="59"/>
        <v/>
      </c>
      <c r="AL41" s="52" t="str">
        <f t="shared" si="59"/>
        <v/>
      </c>
      <c r="AM41" s="49" t="str">
        <f t="shared" si="59"/>
        <v/>
      </c>
      <c r="AN41" s="34" t="str">
        <f t="shared" si="59"/>
        <v/>
      </c>
      <c r="AO41" s="16" t="str">
        <f t="shared" si="59"/>
        <v/>
      </c>
      <c r="AP41" s="16" t="str">
        <f t="shared" si="59"/>
        <v/>
      </c>
      <c r="AQ41" s="39" t="str">
        <f t="shared" si="59"/>
        <v/>
      </c>
      <c r="AR41" s="38" t="str">
        <f t="shared" si="59"/>
        <v/>
      </c>
      <c r="AS41" s="16" t="str">
        <f t="shared" si="59"/>
        <v/>
      </c>
      <c r="AT41" s="16" t="str">
        <f t="shared" si="59"/>
        <v/>
      </c>
      <c r="AU41" s="39" t="str">
        <f t="shared" si="60"/>
        <v/>
      </c>
      <c r="AV41" s="38" t="str">
        <f t="shared" si="60"/>
        <v/>
      </c>
      <c r="AW41" s="16" t="str">
        <f t="shared" si="60"/>
        <v/>
      </c>
      <c r="AX41" s="16" t="str">
        <f t="shared" si="60"/>
        <v/>
      </c>
      <c r="AY41" s="16" t="str">
        <f t="shared" si="60"/>
        <v/>
      </c>
      <c r="AZ41" s="39" t="str">
        <f t="shared" si="60"/>
        <v/>
      </c>
      <c r="BA41" s="39" t="str">
        <f t="shared" si="60"/>
        <v/>
      </c>
      <c r="BB41" s="39" t="str">
        <f t="shared" si="60"/>
        <v/>
      </c>
      <c r="BC41" s="39" t="str">
        <f t="shared" si="60"/>
        <v/>
      </c>
      <c r="BD41" s="39" t="str">
        <f t="shared" si="60"/>
        <v/>
      </c>
      <c r="BE41" s="39" t="str">
        <f t="shared" si="61"/>
        <v/>
      </c>
      <c r="BF41" s="39" t="str">
        <f t="shared" si="61"/>
        <v/>
      </c>
      <c r="BG41" s="39" t="str">
        <f t="shared" si="61"/>
        <v/>
      </c>
      <c r="BH41" s="39" t="str">
        <f t="shared" si="61"/>
        <v/>
      </c>
      <c r="BI41" s="39" t="str">
        <f t="shared" si="61"/>
        <v/>
      </c>
      <c r="BJ41" s="39" t="str">
        <f t="shared" si="61"/>
        <v/>
      </c>
      <c r="BK41" s="39" t="str">
        <f t="shared" si="61"/>
        <v/>
      </c>
      <c r="BL41" s="39" t="str">
        <f t="shared" si="61"/>
        <v/>
      </c>
      <c r="BM41" s="39" t="str">
        <f t="shared" si="61"/>
        <v/>
      </c>
      <c r="BN41" s="39" t="str">
        <f t="shared" si="61"/>
        <v/>
      </c>
      <c r="BO41" s="39" t="str">
        <f t="shared" si="62"/>
        <v/>
      </c>
      <c r="BP41" s="39" t="str">
        <f t="shared" si="62"/>
        <v/>
      </c>
      <c r="BQ41" s="39" t="str">
        <f t="shared" si="62"/>
        <v/>
      </c>
      <c r="BR41" s="39" t="str">
        <f t="shared" si="62"/>
        <v/>
      </c>
      <c r="BS41" s="39" t="str">
        <f t="shared" si="62"/>
        <v/>
      </c>
      <c r="BT41" s="39" t="str">
        <f t="shared" si="62"/>
        <v/>
      </c>
      <c r="BU41" s="39" t="str">
        <f t="shared" si="62"/>
        <v/>
      </c>
      <c r="BV41" s="39" t="str">
        <f t="shared" si="62"/>
        <v/>
      </c>
      <c r="BW41" s="39" t="str">
        <f t="shared" si="62"/>
        <v/>
      </c>
      <c r="BX41" s="39" t="str">
        <f t="shared" si="62"/>
        <v/>
      </c>
      <c r="BY41" s="39" t="str">
        <f t="shared" si="63"/>
        <v/>
      </c>
      <c r="BZ41" s="39" t="str">
        <f t="shared" si="63"/>
        <v/>
      </c>
      <c r="CA41" s="39" t="str">
        <f t="shared" si="63"/>
        <v/>
      </c>
      <c r="CB41" s="39" t="str">
        <f t="shared" si="63"/>
        <v/>
      </c>
      <c r="CC41" s="39" t="str">
        <f t="shared" si="63"/>
        <v/>
      </c>
      <c r="CD41" s="39" t="str">
        <f t="shared" si="63"/>
        <v/>
      </c>
      <c r="CE41" s="39" t="str">
        <f t="shared" si="63"/>
        <v/>
      </c>
      <c r="CF41" s="39" t="str">
        <f t="shared" si="63"/>
        <v/>
      </c>
      <c r="CG41" s="39" t="str">
        <f t="shared" si="63"/>
        <v/>
      </c>
      <c r="CH41" s="39" t="str">
        <f t="shared" si="63"/>
        <v/>
      </c>
      <c r="CI41" s="39" t="str">
        <f t="shared" si="63"/>
        <v/>
      </c>
      <c r="CJ41" s="39" t="str">
        <f t="shared" si="63"/>
        <v/>
      </c>
      <c r="CK41" s="39" t="str">
        <f t="shared" si="63"/>
        <v/>
      </c>
    </row>
    <row r="42" spans="1:89" ht="18.75" customHeight="1" thickBot="1">
      <c r="C42" s="19"/>
      <c r="D42" s="9"/>
      <c r="E42" s="22"/>
      <c r="F42" s="20"/>
      <c r="G42" s="20"/>
      <c r="H42" s="20"/>
      <c r="I42" s="23"/>
      <c r="K42" s="24"/>
      <c r="L42" s="20"/>
      <c r="Q42" s="6"/>
      <c r="R42" s="11"/>
      <c r="S42" s="11"/>
      <c r="T42" s="17"/>
      <c r="U42" s="17"/>
      <c r="V42" s="17"/>
      <c r="W42" s="17"/>
      <c r="X42" s="17"/>
      <c r="Y42" s="17"/>
      <c r="Z42" s="33"/>
      <c r="AA42" s="40" t="str">
        <f t="shared" si="58"/>
        <v/>
      </c>
      <c r="AB42" s="41" t="str">
        <f t="shared" si="58"/>
        <v/>
      </c>
      <c r="AC42" s="41" t="str">
        <f t="shared" si="58"/>
        <v/>
      </c>
      <c r="AD42" s="42" t="str">
        <f t="shared" si="58"/>
        <v/>
      </c>
      <c r="AE42" s="40" t="str">
        <f t="shared" si="58"/>
        <v/>
      </c>
      <c r="AF42" s="41" t="str">
        <f t="shared" si="58"/>
        <v/>
      </c>
      <c r="AG42" s="41" t="str">
        <f t="shared" si="58"/>
        <v/>
      </c>
      <c r="AH42" s="42" t="str">
        <f t="shared" si="58"/>
        <v/>
      </c>
      <c r="AI42" s="40" t="str">
        <f t="shared" si="58"/>
        <v/>
      </c>
      <c r="AJ42" s="41" t="str">
        <f t="shared" si="58"/>
        <v/>
      </c>
      <c r="AK42" s="47" t="str">
        <f t="shared" si="59"/>
        <v/>
      </c>
      <c r="AL42" s="53" t="str">
        <f t="shared" si="59"/>
        <v/>
      </c>
      <c r="AM42" s="50" t="str">
        <f t="shared" si="59"/>
        <v/>
      </c>
      <c r="AN42" s="44" t="str">
        <f t="shared" si="59"/>
        <v/>
      </c>
      <c r="AO42" s="41" t="str">
        <f t="shared" si="59"/>
        <v/>
      </c>
      <c r="AP42" s="41" t="str">
        <f t="shared" si="59"/>
        <v/>
      </c>
      <c r="AQ42" s="42" t="str">
        <f t="shared" si="59"/>
        <v/>
      </c>
      <c r="AR42" s="40" t="str">
        <f t="shared" si="59"/>
        <v/>
      </c>
      <c r="AS42" s="41" t="str">
        <f t="shared" si="59"/>
        <v/>
      </c>
      <c r="AT42" s="41" t="str">
        <f t="shared" si="59"/>
        <v/>
      </c>
      <c r="AU42" s="42" t="str">
        <f t="shared" si="60"/>
        <v/>
      </c>
      <c r="AV42" s="40" t="str">
        <f t="shared" si="60"/>
        <v/>
      </c>
      <c r="AW42" s="41" t="str">
        <f t="shared" si="60"/>
        <v/>
      </c>
      <c r="AX42" s="41" t="str">
        <f t="shared" si="60"/>
        <v/>
      </c>
      <c r="AY42" s="41" t="str">
        <f t="shared" si="60"/>
        <v/>
      </c>
      <c r="AZ42" s="42" t="str">
        <f t="shared" si="60"/>
        <v/>
      </c>
      <c r="BA42" s="42" t="str">
        <f t="shared" si="60"/>
        <v/>
      </c>
      <c r="BB42" s="42" t="str">
        <f t="shared" si="60"/>
        <v/>
      </c>
      <c r="BC42" s="42" t="str">
        <f t="shared" si="60"/>
        <v/>
      </c>
      <c r="BD42" s="42" t="str">
        <f t="shared" si="60"/>
        <v/>
      </c>
      <c r="BE42" s="42" t="str">
        <f t="shared" si="61"/>
        <v/>
      </c>
      <c r="BF42" s="42" t="str">
        <f t="shared" si="61"/>
        <v/>
      </c>
      <c r="BG42" s="42" t="str">
        <f t="shared" si="61"/>
        <v/>
      </c>
      <c r="BH42" s="42" t="str">
        <f t="shared" si="61"/>
        <v/>
      </c>
      <c r="BI42" s="42" t="str">
        <f t="shared" si="61"/>
        <v/>
      </c>
      <c r="BJ42" s="42" t="str">
        <f t="shared" si="61"/>
        <v/>
      </c>
      <c r="BK42" s="42" t="str">
        <f t="shared" si="61"/>
        <v/>
      </c>
      <c r="BL42" s="42" t="str">
        <f t="shared" si="61"/>
        <v/>
      </c>
      <c r="BM42" s="42" t="str">
        <f t="shared" si="61"/>
        <v/>
      </c>
      <c r="BN42" s="42" t="str">
        <f t="shared" si="61"/>
        <v/>
      </c>
      <c r="BO42" s="42" t="str">
        <f t="shared" si="62"/>
        <v/>
      </c>
      <c r="BP42" s="42" t="str">
        <f t="shared" si="62"/>
        <v/>
      </c>
      <c r="BQ42" s="42" t="str">
        <f t="shared" si="62"/>
        <v/>
      </c>
      <c r="BR42" s="42" t="str">
        <f t="shared" si="62"/>
        <v/>
      </c>
      <c r="BS42" s="42" t="str">
        <f t="shared" si="62"/>
        <v/>
      </c>
      <c r="BT42" s="42" t="str">
        <f t="shared" si="62"/>
        <v/>
      </c>
      <c r="BU42" s="42" t="str">
        <f t="shared" si="62"/>
        <v/>
      </c>
      <c r="BV42" s="42" t="str">
        <f t="shared" si="62"/>
        <v/>
      </c>
      <c r="BW42" s="42" t="str">
        <f t="shared" si="62"/>
        <v/>
      </c>
      <c r="BX42" s="42" t="str">
        <f t="shared" si="62"/>
        <v/>
      </c>
      <c r="BY42" s="42" t="str">
        <f t="shared" si="63"/>
        <v/>
      </c>
      <c r="BZ42" s="42" t="str">
        <f t="shared" si="63"/>
        <v/>
      </c>
      <c r="CA42" s="42" t="str">
        <f t="shared" si="63"/>
        <v/>
      </c>
      <c r="CB42" s="42" t="str">
        <f t="shared" si="63"/>
        <v/>
      </c>
      <c r="CC42" s="42" t="str">
        <f t="shared" si="63"/>
        <v/>
      </c>
      <c r="CD42" s="42" t="str">
        <f t="shared" si="63"/>
        <v/>
      </c>
      <c r="CE42" s="42" t="str">
        <f t="shared" si="63"/>
        <v/>
      </c>
      <c r="CF42" s="42" t="str">
        <f t="shared" si="63"/>
        <v/>
      </c>
      <c r="CG42" s="42" t="str">
        <f t="shared" si="63"/>
        <v/>
      </c>
      <c r="CH42" s="42" t="str">
        <f t="shared" si="63"/>
        <v/>
      </c>
      <c r="CI42" s="42" t="str">
        <f t="shared" si="63"/>
        <v/>
      </c>
      <c r="CJ42" s="42" t="str">
        <f t="shared" si="63"/>
        <v/>
      </c>
      <c r="CK42" s="42" t="str">
        <f t="shared" si="63"/>
        <v/>
      </c>
    </row>
    <row r="43" spans="1:89" ht="18.75" customHeight="1" thickBot="1">
      <c r="C43" s="19"/>
      <c r="D43" s="9"/>
      <c r="E43" s="22"/>
      <c r="F43" s="20"/>
      <c r="G43" s="20"/>
      <c r="H43" s="20"/>
      <c r="I43" s="23"/>
      <c r="K43" s="24"/>
      <c r="L43" s="20"/>
      <c r="Q43" s="6"/>
      <c r="R43" s="11"/>
      <c r="S43" s="11"/>
      <c r="T43" s="17"/>
      <c r="U43" s="17"/>
      <c r="V43" s="17"/>
      <c r="W43" s="17"/>
      <c r="X43" s="17"/>
      <c r="Y43" s="17"/>
      <c r="Z43" s="33"/>
      <c r="AA43" s="40" t="str">
        <f t="shared" ref="AA43:AJ52" si="64">IF($A43="","",IF($B43="Milestone",IF(AND(AA$1&lt;=$R43,AA$1+7&gt;$R43),"◆",""),IF(AND(AA$1&lt;$S43,AA$1+7&gt;$R43),IF($B43="Summary","=",IF($B43="Activity",IF($Z43=TRUE,"X","O"),"")),"")))</f>
        <v/>
      </c>
      <c r="AB43" s="41" t="str">
        <f t="shared" si="64"/>
        <v/>
      </c>
      <c r="AC43" s="41" t="str">
        <f t="shared" si="64"/>
        <v/>
      </c>
      <c r="AD43" s="42" t="str">
        <f t="shared" si="64"/>
        <v/>
      </c>
      <c r="AE43" s="40" t="str">
        <f t="shared" si="64"/>
        <v/>
      </c>
      <c r="AF43" s="41" t="str">
        <f t="shared" si="64"/>
        <v/>
      </c>
      <c r="AG43" s="41" t="str">
        <f t="shared" si="64"/>
        <v/>
      </c>
      <c r="AH43" s="42" t="str">
        <f t="shared" si="64"/>
        <v/>
      </c>
      <c r="AI43" s="40" t="str">
        <f t="shared" si="64"/>
        <v/>
      </c>
      <c r="AJ43" s="41" t="str">
        <f t="shared" si="64"/>
        <v/>
      </c>
      <c r="AK43" s="47" t="str">
        <f t="shared" ref="AK43:AT52" si="65">IF($A43="","",IF($B43="Milestone",IF(AND(AK$1&lt;=$R43,AK$1+7&gt;$R43),"◆",""),IF(AND(AK$1&lt;$S43,AK$1+7&gt;$R43),IF($B43="Summary","=",IF($B43="Activity",IF($Z43=TRUE,"X","O"),"")),"")))</f>
        <v/>
      </c>
      <c r="AL43" s="53" t="str">
        <f t="shared" si="65"/>
        <v/>
      </c>
      <c r="AM43" s="50" t="str">
        <f t="shared" si="65"/>
        <v/>
      </c>
      <c r="AN43" s="44" t="str">
        <f t="shared" si="65"/>
        <v/>
      </c>
      <c r="AO43" s="41" t="str">
        <f t="shared" si="65"/>
        <v/>
      </c>
      <c r="AP43" s="41" t="str">
        <f t="shared" si="65"/>
        <v/>
      </c>
      <c r="AQ43" s="42" t="str">
        <f t="shared" si="65"/>
        <v/>
      </c>
      <c r="AR43" s="40" t="str">
        <f t="shared" si="65"/>
        <v/>
      </c>
      <c r="AS43" s="41" t="str">
        <f t="shared" si="65"/>
        <v/>
      </c>
      <c r="AT43" s="41" t="str">
        <f t="shared" si="65"/>
        <v/>
      </c>
      <c r="AU43" s="42" t="str">
        <f t="shared" ref="AU43:BD52" si="66">IF($A43="","",IF($B43="Milestone",IF(AND(AU$1&lt;=$R43,AU$1+7&gt;$R43),"◆",""),IF(AND(AU$1&lt;$S43,AU$1+7&gt;$R43),IF($B43="Summary","=",IF($B43="Activity",IF($Z43=TRUE,"X","O"),"")),"")))</f>
        <v/>
      </c>
      <c r="AV43" s="40" t="str">
        <f t="shared" si="66"/>
        <v/>
      </c>
      <c r="AW43" s="41" t="str">
        <f t="shared" si="66"/>
        <v/>
      </c>
      <c r="AX43" s="41" t="str">
        <f t="shared" si="66"/>
        <v/>
      </c>
      <c r="AY43" s="41" t="str">
        <f t="shared" si="66"/>
        <v/>
      </c>
      <c r="AZ43" s="42" t="str">
        <f t="shared" si="66"/>
        <v/>
      </c>
      <c r="BA43" s="42" t="str">
        <f t="shared" si="66"/>
        <v/>
      </c>
      <c r="BB43" s="42" t="str">
        <f t="shared" si="66"/>
        <v/>
      </c>
      <c r="BC43" s="42" t="str">
        <f t="shared" si="66"/>
        <v/>
      </c>
      <c r="BD43" s="42" t="str">
        <f t="shared" si="66"/>
        <v/>
      </c>
      <c r="BE43" s="42" t="str">
        <f t="shared" ref="BE43:BN52" si="67">IF($A43="","",IF($B43="Milestone",IF(AND(BE$1&lt;=$R43,BE$1+7&gt;$R43),"◆",""),IF(AND(BE$1&lt;$S43,BE$1+7&gt;$R43),IF($B43="Summary","=",IF($B43="Activity",IF($Z43=TRUE,"X","O"),"")),"")))</f>
        <v/>
      </c>
      <c r="BF43" s="42" t="str">
        <f t="shared" si="67"/>
        <v/>
      </c>
      <c r="BG43" s="42" t="str">
        <f t="shared" si="67"/>
        <v/>
      </c>
      <c r="BH43" s="42" t="str">
        <f t="shared" si="67"/>
        <v/>
      </c>
      <c r="BI43" s="42" t="str">
        <f t="shared" si="67"/>
        <v/>
      </c>
      <c r="BJ43" s="42" t="str">
        <f t="shared" si="67"/>
        <v/>
      </c>
      <c r="BK43" s="42" t="str">
        <f t="shared" si="67"/>
        <v/>
      </c>
      <c r="BL43" s="42" t="str">
        <f t="shared" si="67"/>
        <v/>
      </c>
      <c r="BM43" s="42" t="str">
        <f t="shared" si="67"/>
        <v/>
      </c>
      <c r="BN43" s="42" t="str">
        <f t="shared" si="67"/>
        <v/>
      </c>
      <c r="BO43" s="42" t="str">
        <f t="shared" ref="BO43:BX52" si="68">IF($A43="","",IF($B43="Milestone",IF(AND(BO$1&lt;=$R43,BO$1+7&gt;$R43),"◆",""),IF(AND(BO$1&lt;$S43,BO$1+7&gt;$R43),IF($B43="Summary","=",IF($B43="Activity",IF($Z43=TRUE,"X","O"),"")),"")))</f>
        <v/>
      </c>
      <c r="BP43" s="42" t="str">
        <f t="shared" si="68"/>
        <v/>
      </c>
      <c r="BQ43" s="42" t="str">
        <f t="shared" si="68"/>
        <v/>
      </c>
      <c r="BR43" s="42" t="str">
        <f t="shared" si="68"/>
        <v/>
      </c>
      <c r="BS43" s="42" t="str">
        <f t="shared" si="68"/>
        <v/>
      </c>
      <c r="BT43" s="42" t="str">
        <f t="shared" si="68"/>
        <v/>
      </c>
      <c r="BU43" s="42" t="str">
        <f t="shared" si="68"/>
        <v/>
      </c>
      <c r="BV43" s="42" t="str">
        <f t="shared" si="68"/>
        <v/>
      </c>
      <c r="BW43" s="42" t="str">
        <f t="shared" si="68"/>
        <v/>
      </c>
      <c r="BX43" s="42" t="str">
        <f t="shared" si="68"/>
        <v/>
      </c>
      <c r="BY43" s="42" t="str">
        <f t="shared" ref="BY43:CK52" si="69">IF($A43="","",IF($B43="Milestone",IF(AND(BY$1&lt;=$R43,BY$1+7&gt;$R43),"◆",""),IF(AND(BY$1&lt;$S43,BY$1+7&gt;$R43),IF($B43="Summary","=",IF($B43="Activity",IF($Z43=TRUE,"X","O"),"")),"")))</f>
        <v/>
      </c>
      <c r="BZ43" s="42" t="str">
        <f t="shared" si="69"/>
        <v/>
      </c>
      <c r="CA43" s="42" t="str">
        <f t="shared" si="69"/>
        <v/>
      </c>
      <c r="CB43" s="42" t="str">
        <f t="shared" si="69"/>
        <v/>
      </c>
      <c r="CC43" s="42" t="str">
        <f t="shared" si="69"/>
        <v/>
      </c>
      <c r="CD43" s="42" t="str">
        <f t="shared" si="69"/>
        <v/>
      </c>
      <c r="CE43" s="42" t="str">
        <f t="shared" si="69"/>
        <v/>
      </c>
      <c r="CF43" s="42" t="str">
        <f t="shared" si="69"/>
        <v/>
      </c>
      <c r="CG43" s="42" t="str">
        <f t="shared" si="69"/>
        <v/>
      </c>
      <c r="CH43" s="42" t="str">
        <f t="shared" si="69"/>
        <v/>
      </c>
      <c r="CI43" s="42" t="str">
        <f t="shared" si="69"/>
        <v/>
      </c>
      <c r="CJ43" s="42" t="str">
        <f t="shared" si="69"/>
        <v/>
      </c>
      <c r="CK43" s="42" t="str">
        <f t="shared" si="69"/>
        <v/>
      </c>
    </row>
    <row r="44" spans="1:89" ht="18.75" customHeight="1" thickBot="1">
      <c r="C44" s="19"/>
      <c r="D44" s="9"/>
      <c r="E44" s="22"/>
      <c r="F44" s="20"/>
      <c r="G44" s="20"/>
      <c r="H44" s="20"/>
      <c r="I44" s="23"/>
      <c r="K44" s="24"/>
      <c r="L44" s="20"/>
      <c r="Q44" s="6"/>
      <c r="R44" s="11"/>
      <c r="S44" s="11"/>
      <c r="T44" s="17"/>
      <c r="U44" s="17"/>
      <c r="V44" s="17"/>
      <c r="W44" s="17"/>
      <c r="X44" s="17"/>
      <c r="Y44" s="17"/>
      <c r="Z44" s="33"/>
      <c r="AA44" s="40" t="str">
        <f t="shared" si="64"/>
        <v/>
      </c>
      <c r="AB44" s="41" t="str">
        <f t="shared" si="64"/>
        <v/>
      </c>
      <c r="AC44" s="41" t="str">
        <f t="shared" si="64"/>
        <v/>
      </c>
      <c r="AD44" s="42" t="str">
        <f t="shared" si="64"/>
        <v/>
      </c>
      <c r="AE44" s="40" t="str">
        <f t="shared" si="64"/>
        <v/>
      </c>
      <c r="AF44" s="41" t="str">
        <f t="shared" si="64"/>
        <v/>
      </c>
      <c r="AG44" s="41" t="str">
        <f t="shared" si="64"/>
        <v/>
      </c>
      <c r="AH44" s="42" t="str">
        <f t="shared" si="64"/>
        <v/>
      </c>
      <c r="AI44" s="40" t="str">
        <f t="shared" si="64"/>
        <v/>
      </c>
      <c r="AJ44" s="41" t="str">
        <f t="shared" si="64"/>
        <v/>
      </c>
      <c r="AK44" s="47" t="str">
        <f t="shared" si="65"/>
        <v/>
      </c>
      <c r="AL44" s="53" t="str">
        <f t="shared" si="65"/>
        <v/>
      </c>
      <c r="AM44" s="50" t="str">
        <f t="shared" si="65"/>
        <v/>
      </c>
      <c r="AN44" s="44" t="str">
        <f t="shared" si="65"/>
        <v/>
      </c>
      <c r="AO44" s="41" t="str">
        <f t="shared" si="65"/>
        <v/>
      </c>
      <c r="AP44" s="41" t="str">
        <f t="shared" si="65"/>
        <v/>
      </c>
      <c r="AQ44" s="42" t="str">
        <f t="shared" si="65"/>
        <v/>
      </c>
      <c r="AR44" s="40" t="str">
        <f t="shared" si="65"/>
        <v/>
      </c>
      <c r="AS44" s="41" t="str">
        <f t="shared" si="65"/>
        <v/>
      </c>
      <c r="AT44" s="41" t="str">
        <f t="shared" si="65"/>
        <v/>
      </c>
      <c r="AU44" s="42" t="str">
        <f t="shared" si="66"/>
        <v/>
      </c>
      <c r="AV44" s="40" t="str">
        <f t="shared" si="66"/>
        <v/>
      </c>
      <c r="AW44" s="41" t="str">
        <f t="shared" si="66"/>
        <v/>
      </c>
      <c r="AX44" s="41" t="str">
        <f t="shared" si="66"/>
        <v/>
      </c>
      <c r="AY44" s="41" t="str">
        <f t="shared" si="66"/>
        <v/>
      </c>
      <c r="AZ44" s="42" t="str">
        <f t="shared" si="66"/>
        <v/>
      </c>
      <c r="BA44" s="42" t="str">
        <f t="shared" si="66"/>
        <v/>
      </c>
      <c r="BB44" s="42" t="str">
        <f t="shared" si="66"/>
        <v/>
      </c>
      <c r="BC44" s="42" t="str">
        <f t="shared" si="66"/>
        <v/>
      </c>
      <c r="BD44" s="42" t="str">
        <f t="shared" si="66"/>
        <v/>
      </c>
      <c r="BE44" s="42" t="str">
        <f t="shared" si="67"/>
        <v/>
      </c>
      <c r="BF44" s="42" t="str">
        <f t="shared" si="67"/>
        <v/>
      </c>
      <c r="BG44" s="42" t="str">
        <f t="shared" si="67"/>
        <v/>
      </c>
      <c r="BH44" s="42" t="str">
        <f t="shared" si="67"/>
        <v/>
      </c>
      <c r="BI44" s="42" t="str">
        <f t="shared" si="67"/>
        <v/>
      </c>
      <c r="BJ44" s="42" t="str">
        <f t="shared" si="67"/>
        <v/>
      </c>
      <c r="BK44" s="42" t="str">
        <f t="shared" si="67"/>
        <v/>
      </c>
      <c r="BL44" s="42" t="str">
        <f t="shared" si="67"/>
        <v/>
      </c>
      <c r="BM44" s="42" t="str">
        <f t="shared" si="67"/>
        <v/>
      </c>
      <c r="BN44" s="42" t="str">
        <f t="shared" si="67"/>
        <v/>
      </c>
      <c r="BO44" s="42" t="str">
        <f t="shared" si="68"/>
        <v/>
      </c>
      <c r="BP44" s="42" t="str">
        <f t="shared" si="68"/>
        <v/>
      </c>
      <c r="BQ44" s="42" t="str">
        <f t="shared" si="68"/>
        <v/>
      </c>
      <c r="BR44" s="42" t="str">
        <f t="shared" si="68"/>
        <v/>
      </c>
      <c r="BS44" s="42" t="str">
        <f t="shared" si="68"/>
        <v/>
      </c>
      <c r="BT44" s="42" t="str">
        <f t="shared" si="68"/>
        <v/>
      </c>
      <c r="BU44" s="42" t="str">
        <f t="shared" si="68"/>
        <v/>
      </c>
      <c r="BV44" s="42" t="str">
        <f t="shared" si="68"/>
        <v/>
      </c>
      <c r="BW44" s="42" t="str">
        <f t="shared" si="68"/>
        <v/>
      </c>
      <c r="BX44" s="42" t="str">
        <f t="shared" si="68"/>
        <v/>
      </c>
      <c r="BY44" s="42" t="str">
        <f t="shared" si="69"/>
        <v/>
      </c>
      <c r="BZ44" s="42" t="str">
        <f t="shared" si="69"/>
        <v/>
      </c>
      <c r="CA44" s="42" t="str">
        <f t="shared" si="69"/>
        <v/>
      </c>
      <c r="CB44" s="42" t="str">
        <f t="shared" si="69"/>
        <v/>
      </c>
      <c r="CC44" s="42" t="str">
        <f t="shared" si="69"/>
        <v/>
      </c>
      <c r="CD44" s="42" t="str">
        <f t="shared" si="69"/>
        <v/>
      </c>
      <c r="CE44" s="42" t="str">
        <f t="shared" si="69"/>
        <v/>
      </c>
      <c r="CF44" s="42" t="str">
        <f t="shared" si="69"/>
        <v/>
      </c>
      <c r="CG44" s="42" t="str">
        <f t="shared" si="69"/>
        <v/>
      </c>
      <c r="CH44" s="42" t="str">
        <f t="shared" si="69"/>
        <v/>
      </c>
      <c r="CI44" s="42" t="str">
        <f t="shared" si="69"/>
        <v/>
      </c>
      <c r="CJ44" s="42" t="str">
        <f t="shared" si="69"/>
        <v/>
      </c>
      <c r="CK44" s="42" t="str">
        <f t="shared" si="69"/>
        <v/>
      </c>
    </row>
    <row r="45" spans="1:89" ht="18.75" customHeight="1" thickBot="1">
      <c r="C45" s="19"/>
      <c r="D45" s="9"/>
      <c r="E45" s="22"/>
      <c r="F45" s="20"/>
      <c r="G45" s="20"/>
      <c r="H45" s="20"/>
      <c r="I45" s="23"/>
      <c r="K45" s="24"/>
      <c r="L45" s="20"/>
      <c r="Q45" s="6"/>
      <c r="R45" s="11"/>
      <c r="S45" s="11"/>
      <c r="T45" s="17"/>
      <c r="U45" s="17"/>
      <c r="V45" s="17"/>
      <c r="W45" s="17"/>
      <c r="X45" s="17"/>
      <c r="Y45" s="17"/>
      <c r="Z45" s="33"/>
      <c r="AA45" s="40" t="str">
        <f t="shared" si="64"/>
        <v/>
      </c>
      <c r="AB45" s="41" t="str">
        <f t="shared" si="64"/>
        <v/>
      </c>
      <c r="AC45" s="41" t="str">
        <f t="shared" si="64"/>
        <v/>
      </c>
      <c r="AD45" s="42" t="str">
        <f t="shared" si="64"/>
        <v/>
      </c>
      <c r="AE45" s="40" t="str">
        <f t="shared" si="64"/>
        <v/>
      </c>
      <c r="AF45" s="41" t="str">
        <f t="shared" si="64"/>
        <v/>
      </c>
      <c r="AG45" s="41" t="str">
        <f t="shared" si="64"/>
        <v/>
      </c>
      <c r="AH45" s="42" t="str">
        <f t="shared" si="64"/>
        <v/>
      </c>
      <c r="AI45" s="40" t="str">
        <f t="shared" si="64"/>
        <v/>
      </c>
      <c r="AJ45" s="41" t="str">
        <f t="shared" si="64"/>
        <v/>
      </c>
      <c r="AK45" s="47" t="str">
        <f t="shared" si="65"/>
        <v/>
      </c>
      <c r="AL45" s="53" t="str">
        <f t="shared" si="65"/>
        <v/>
      </c>
      <c r="AM45" s="50" t="str">
        <f t="shared" si="65"/>
        <v/>
      </c>
      <c r="AN45" s="44" t="str">
        <f t="shared" si="65"/>
        <v/>
      </c>
      <c r="AO45" s="41" t="str">
        <f t="shared" si="65"/>
        <v/>
      </c>
      <c r="AP45" s="41" t="str">
        <f t="shared" si="65"/>
        <v/>
      </c>
      <c r="AQ45" s="42" t="str">
        <f t="shared" si="65"/>
        <v/>
      </c>
      <c r="AR45" s="40" t="str">
        <f t="shared" si="65"/>
        <v/>
      </c>
      <c r="AS45" s="41" t="str">
        <f t="shared" si="65"/>
        <v/>
      </c>
      <c r="AT45" s="41" t="str">
        <f t="shared" si="65"/>
        <v/>
      </c>
      <c r="AU45" s="42" t="str">
        <f t="shared" si="66"/>
        <v/>
      </c>
      <c r="AV45" s="40" t="str">
        <f t="shared" si="66"/>
        <v/>
      </c>
      <c r="AW45" s="41" t="str">
        <f t="shared" si="66"/>
        <v/>
      </c>
      <c r="AX45" s="41" t="str">
        <f t="shared" si="66"/>
        <v/>
      </c>
      <c r="AY45" s="41" t="str">
        <f t="shared" si="66"/>
        <v/>
      </c>
      <c r="AZ45" s="42" t="str">
        <f t="shared" si="66"/>
        <v/>
      </c>
      <c r="BA45" s="42" t="str">
        <f t="shared" si="66"/>
        <v/>
      </c>
      <c r="BB45" s="42" t="str">
        <f t="shared" si="66"/>
        <v/>
      </c>
      <c r="BC45" s="42" t="str">
        <f t="shared" si="66"/>
        <v/>
      </c>
      <c r="BD45" s="42" t="str">
        <f t="shared" si="66"/>
        <v/>
      </c>
      <c r="BE45" s="42" t="str">
        <f t="shared" si="67"/>
        <v/>
      </c>
      <c r="BF45" s="42" t="str">
        <f t="shared" si="67"/>
        <v/>
      </c>
      <c r="BG45" s="42" t="str">
        <f t="shared" si="67"/>
        <v/>
      </c>
      <c r="BH45" s="42" t="str">
        <f t="shared" si="67"/>
        <v/>
      </c>
      <c r="BI45" s="42" t="str">
        <f t="shared" si="67"/>
        <v/>
      </c>
      <c r="BJ45" s="42" t="str">
        <f t="shared" si="67"/>
        <v/>
      </c>
      <c r="BK45" s="42" t="str">
        <f t="shared" si="67"/>
        <v/>
      </c>
      <c r="BL45" s="42" t="str">
        <f t="shared" si="67"/>
        <v/>
      </c>
      <c r="BM45" s="42" t="str">
        <f t="shared" si="67"/>
        <v/>
      </c>
      <c r="BN45" s="42" t="str">
        <f t="shared" si="67"/>
        <v/>
      </c>
      <c r="BO45" s="42" t="str">
        <f t="shared" si="68"/>
        <v/>
      </c>
      <c r="BP45" s="42" t="str">
        <f t="shared" si="68"/>
        <v/>
      </c>
      <c r="BQ45" s="42" t="str">
        <f t="shared" si="68"/>
        <v/>
      </c>
      <c r="BR45" s="42" t="str">
        <f t="shared" si="68"/>
        <v/>
      </c>
      <c r="BS45" s="42" t="str">
        <f t="shared" si="68"/>
        <v/>
      </c>
      <c r="BT45" s="42" t="str">
        <f t="shared" si="68"/>
        <v/>
      </c>
      <c r="BU45" s="42" t="str">
        <f t="shared" si="68"/>
        <v/>
      </c>
      <c r="BV45" s="42" t="str">
        <f t="shared" si="68"/>
        <v/>
      </c>
      <c r="BW45" s="42" t="str">
        <f t="shared" si="68"/>
        <v/>
      </c>
      <c r="BX45" s="42" t="str">
        <f t="shared" si="68"/>
        <v/>
      </c>
      <c r="BY45" s="42" t="str">
        <f t="shared" si="69"/>
        <v/>
      </c>
      <c r="BZ45" s="42" t="str">
        <f t="shared" si="69"/>
        <v/>
      </c>
      <c r="CA45" s="42" t="str">
        <f t="shared" si="69"/>
        <v/>
      </c>
      <c r="CB45" s="42" t="str">
        <f t="shared" si="69"/>
        <v/>
      </c>
      <c r="CC45" s="42" t="str">
        <f t="shared" si="69"/>
        <v/>
      </c>
      <c r="CD45" s="42" t="str">
        <f t="shared" si="69"/>
        <v/>
      </c>
      <c r="CE45" s="42" t="str">
        <f t="shared" si="69"/>
        <v/>
      </c>
      <c r="CF45" s="42" t="str">
        <f t="shared" si="69"/>
        <v/>
      </c>
      <c r="CG45" s="42" t="str">
        <f t="shared" si="69"/>
        <v/>
      </c>
      <c r="CH45" s="42" t="str">
        <f t="shared" si="69"/>
        <v/>
      </c>
      <c r="CI45" s="42" t="str">
        <f t="shared" si="69"/>
        <v/>
      </c>
      <c r="CJ45" s="42" t="str">
        <f t="shared" si="69"/>
        <v/>
      </c>
      <c r="CK45" s="42" t="str">
        <f t="shared" si="69"/>
        <v/>
      </c>
    </row>
    <row r="46" spans="1:89" ht="18.75" customHeight="1" thickBot="1">
      <c r="C46" s="19"/>
      <c r="D46" s="9"/>
      <c r="E46" s="22"/>
      <c r="F46" s="20"/>
      <c r="G46" s="20"/>
      <c r="H46" s="20"/>
      <c r="I46" s="23"/>
      <c r="K46" s="24"/>
      <c r="L46" s="20"/>
      <c r="Q46" s="6"/>
      <c r="R46" s="11"/>
      <c r="S46" s="11"/>
      <c r="T46" s="17"/>
      <c r="U46" s="17"/>
      <c r="V46" s="17"/>
      <c r="W46" s="17"/>
      <c r="X46" s="17"/>
      <c r="Y46" s="17"/>
      <c r="Z46" s="33"/>
      <c r="AA46" s="40" t="str">
        <f t="shared" si="64"/>
        <v/>
      </c>
      <c r="AB46" s="41" t="str">
        <f t="shared" si="64"/>
        <v/>
      </c>
      <c r="AC46" s="41" t="str">
        <f t="shared" si="64"/>
        <v/>
      </c>
      <c r="AD46" s="42" t="str">
        <f t="shared" si="64"/>
        <v/>
      </c>
      <c r="AE46" s="40" t="str">
        <f t="shared" si="64"/>
        <v/>
      </c>
      <c r="AF46" s="41" t="str">
        <f t="shared" si="64"/>
        <v/>
      </c>
      <c r="AG46" s="41" t="str">
        <f t="shared" si="64"/>
        <v/>
      </c>
      <c r="AH46" s="42" t="str">
        <f t="shared" si="64"/>
        <v/>
      </c>
      <c r="AI46" s="40" t="str">
        <f t="shared" si="64"/>
        <v/>
      </c>
      <c r="AJ46" s="41" t="str">
        <f t="shared" si="64"/>
        <v/>
      </c>
      <c r="AK46" s="47" t="str">
        <f t="shared" si="65"/>
        <v/>
      </c>
      <c r="AL46" s="53" t="str">
        <f t="shared" si="65"/>
        <v/>
      </c>
      <c r="AM46" s="50" t="str">
        <f t="shared" si="65"/>
        <v/>
      </c>
      <c r="AN46" s="44" t="str">
        <f t="shared" si="65"/>
        <v/>
      </c>
      <c r="AO46" s="41" t="str">
        <f t="shared" si="65"/>
        <v/>
      </c>
      <c r="AP46" s="41" t="str">
        <f t="shared" si="65"/>
        <v/>
      </c>
      <c r="AQ46" s="42" t="str">
        <f t="shared" si="65"/>
        <v/>
      </c>
      <c r="AR46" s="40" t="str">
        <f t="shared" si="65"/>
        <v/>
      </c>
      <c r="AS46" s="41" t="str">
        <f t="shared" si="65"/>
        <v/>
      </c>
      <c r="AT46" s="41" t="str">
        <f t="shared" si="65"/>
        <v/>
      </c>
      <c r="AU46" s="42" t="str">
        <f t="shared" si="66"/>
        <v/>
      </c>
      <c r="AV46" s="40" t="str">
        <f t="shared" si="66"/>
        <v/>
      </c>
      <c r="AW46" s="41" t="str">
        <f t="shared" si="66"/>
        <v/>
      </c>
      <c r="AX46" s="41" t="str">
        <f t="shared" si="66"/>
        <v/>
      </c>
      <c r="AY46" s="41" t="str">
        <f t="shared" si="66"/>
        <v/>
      </c>
      <c r="AZ46" s="42" t="str">
        <f t="shared" si="66"/>
        <v/>
      </c>
      <c r="BA46" s="42" t="str">
        <f t="shared" si="66"/>
        <v/>
      </c>
      <c r="BB46" s="42" t="str">
        <f t="shared" si="66"/>
        <v/>
      </c>
      <c r="BC46" s="42" t="str">
        <f t="shared" si="66"/>
        <v/>
      </c>
      <c r="BD46" s="42" t="str">
        <f t="shared" si="66"/>
        <v/>
      </c>
      <c r="BE46" s="42" t="str">
        <f t="shared" si="67"/>
        <v/>
      </c>
      <c r="BF46" s="42" t="str">
        <f t="shared" si="67"/>
        <v/>
      </c>
      <c r="BG46" s="42" t="str">
        <f t="shared" si="67"/>
        <v/>
      </c>
      <c r="BH46" s="42" t="str">
        <f t="shared" si="67"/>
        <v/>
      </c>
      <c r="BI46" s="42" t="str">
        <f t="shared" si="67"/>
        <v/>
      </c>
      <c r="BJ46" s="42" t="str">
        <f t="shared" si="67"/>
        <v/>
      </c>
      <c r="BK46" s="42" t="str">
        <f t="shared" si="67"/>
        <v/>
      </c>
      <c r="BL46" s="42" t="str">
        <f t="shared" si="67"/>
        <v/>
      </c>
      <c r="BM46" s="42" t="str">
        <f t="shared" si="67"/>
        <v/>
      </c>
      <c r="BN46" s="42" t="str">
        <f t="shared" si="67"/>
        <v/>
      </c>
      <c r="BO46" s="42" t="str">
        <f t="shared" si="68"/>
        <v/>
      </c>
      <c r="BP46" s="42" t="str">
        <f t="shared" si="68"/>
        <v/>
      </c>
      <c r="BQ46" s="42" t="str">
        <f t="shared" si="68"/>
        <v/>
      </c>
      <c r="BR46" s="42" t="str">
        <f t="shared" si="68"/>
        <v/>
      </c>
      <c r="BS46" s="42" t="str">
        <f t="shared" si="68"/>
        <v/>
      </c>
      <c r="BT46" s="42" t="str">
        <f t="shared" si="68"/>
        <v/>
      </c>
      <c r="BU46" s="42" t="str">
        <f t="shared" si="68"/>
        <v/>
      </c>
      <c r="BV46" s="42" t="str">
        <f t="shared" si="68"/>
        <v/>
      </c>
      <c r="BW46" s="42" t="str">
        <f t="shared" si="68"/>
        <v/>
      </c>
      <c r="BX46" s="42" t="str">
        <f t="shared" si="68"/>
        <v/>
      </c>
      <c r="BY46" s="42" t="str">
        <f t="shared" si="69"/>
        <v/>
      </c>
      <c r="BZ46" s="42" t="str">
        <f t="shared" si="69"/>
        <v/>
      </c>
      <c r="CA46" s="42" t="str">
        <f t="shared" si="69"/>
        <v/>
      </c>
      <c r="CB46" s="42" t="str">
        <f t="shared" si="69"/>
        <v/>
      </c>
      <c r="CC46" s="42" t="str">
        <f t="shared" si="69"/>
        <v/>
      </c>
      <c r="CD46" s="42" t="str">
        <f t="shared" si="69"/>
        <v/>
      </c>
      <c r="CE46" s="42" t="str">
        <f t="shared" si="69"/>
        <v/>
      </c>
      <c r="CF46" s="42" t="str">
        <f t="shared" si="69"/>
        <v/>
      </c>
      <c r="CG46" s="42" t="str">
        <f t="shared" si="69"/>
        <v/>
      </c>
      <c r="CH46" s="42" t="str">
        <f t="shared" si="69"/>
        <v/>
      </c>
      <c r="CI46" s="42" t="str">
        <f t="shared" si="69"/>
        <v/>
      </c>
      <c r="CJ46" s="42" t="str">
        <f t="shared" si="69"/>
        <v/>
      </c>
      <c r="CK46" s="42" t="str">
        <f t="shared" si="69"/>
        <v/>
      </c>
    </row>
    <row r="47" spans="1:89" ht="18.75" customHeight="1" thickBot="1">
      <c r="C47" s="19"/>
      <c r="D47" s="9"/>
      <c r="E47" s="22"/>
      <c r="F47" s="20"/>
      <c r="G47" s="20"/>
      <c r="H47" s="20"/>
      <c r="I47" s="23"/>
      <c r="K47" s="24"/>
      <c r="L47" s="20"/>
      <c r="Q47" s="6"/>
      <c r="R47" s="11"/>
      <c r="S47" s="11"/>
      <c r="T47" s="17"/>
      <c r="U47" s="17"/>
      <c r="V47" s="17"/>
      <c r="W47" s="17"/>
      <c r="X47" s="17"/>
      <c r="Y47" s="17"/>
      <c r="Z47" s="33"/>
      <c r="AA47" s="40" t="str">
        <f t="shared" si="64"/>
        <v/>
      </c>
      <c r="AB47" s="41" t="str">
        <f t="shared" si="64"/>
        <v/>
      </c>
      <c r="AC47" s="41" t="str">
        <f t="shared" si="64"/>
        <v/>
      </c>
      <c r="AD47" s="42" t="str">
        <f t="shared" si="64"/>
        <v/>
      </c>
      <c r="AE47" s="40" t="str">
        <f t="shared" si="64"/>
        <v/>
      </c>
      <c r="AF47" s="41" t="str">
        <f t="shared" si="64"/>
        <v/>
      </c>
      <c r="AG47" s="41" t="str">
        <f t="shared" si="64"/>
        <v/>
      </c>
      <c r="AH47" s="42" t="str">
        <f t="shared" si="64"/>
        <v/>
      </c>
      <c r="AI47" s="40" t="str">
        <f t="shared" si="64"/>
        <v/>
      </c>
      <c r="AJ47" s="41" t="str">
        <f t="shared" si="64"/>
        <v/>
      </c>
      <c r="AK47" s="47" t="str">
        <f t="shared" si="65"/>
        <v/>
      </c>
      <c r="AL47" s="53" t="str">
        <f t="shared" si="65"/>
        <v/>
      </c>
      <c r="AM47" s="50" t="str">
        <f t="shared" si="65"/>
        <v/>
      </c>
      <c r="AN47" s="44" t="str">
        <f t="shared" si="65"/>
        <v/>
      </c>
      <c r="AO47" s="41" t="str">
        <f t="shared" si="65"/>
        <v/>
      </c>
      <c r="AP47" s="41" t="str">
        <f t="shared" si="65"/>
        <v/>
      </c>
      <c r="AQ47" s="42" t="str">
        <f t="shared" si="65"/>
        <v/>
      </c>
      <c r="AR47" s="40" t="str">
        <f t="shared" si="65"/>
        <v/>
      </c>
      <c r="AS47" s="41" t="str">
        <f t="shared" si="65"/>
        <v/>
      </c>
      <c r="AT47" s="41" t="str">
        <f t="shared" si="65"/>
        <v/>
      </c>
      <c r="AU47" s="42" t="str">
        <f t="shared" si="66"/>
        <v/>
      </c>
      <c r="AV47" s="40" t="str">
        <f t="shared" si="66"/>
        <v/>
      </c>
      <c r="AW47" s="41" t="str">
        <f t="shared" si="66"/>
        <v/>
      </c>
      <c r="AX47" s="41" t="str">
        <f t="shared" si="66"/>
        <v/>
      </c>
      <c r="AY47" s="41" t="str">
        <f t="shared" si="66"/>
        <v/>
      </c>
      <c r="AZ47" s="42" t="str">
        <f t="shared" si="66"/>
        <v/>
      </c>
      <c r="BA47" s="42" t="str">
        <f t="shared" si="66"/>
        <v/>
      </c>
      <c r="BB47" s="42" t="str">
        <f t="shared" si="66"/>
        <v/>
      </c>
      <c r="BC47" s="42" t="str">
        <f t="shared" si="66"/>
        <v/>
      </c>
      <c r="BD47" s="42" t="str">
        <f t="shared" si="66"/>
        <v/>
      </c>
      <c r="BE47" s="42" t="str">
        <f t="shared" si="67"/>
        <v/>
      </c>
      <c r="BF47" s="42" t="str">
        <f t="shared" si="67"/>
        <v/>
      </c>
      <c r="BG47" s="42" t="str">
        <f t="shared" si="67"/>
        <v/>
      </c>
      <c r="BH47" s="42" t="str">
        <f t="shared" si="67"/>
        <v/>
      </c>
      <c r="BI47" s="42" t="str">
        <f t="shared" si="67"/>
        <v/>
      </c>
      <c r="BJ47" s="42" t="str">
        <f t="shared" si="67"/>
        <v/>
      </c>
      <c r="BK47" s="42" t="str">
        <f t="shared" si="67"/>
        <v/>
      </c>
      <c r="BL47" s="42" t="str">
        <f t="shared" si="67"/>
        <v/>
      </c>
      <c r="BM47" s="42" t="str">
        <f t="shared" si="67"/>
        <v/>
      </c>
      <c r="BN47" s="42" t="str">
        <f t="shared" si="67"/>
        <v/>
      </c>
      <c r="BO47" s="42" t="str">
        <f t="shared" si="68"/>
        <v/>
      </c>
      <c r="BP47" s="42" t="str">
        <f t="shared" si="68"/>
        <v/>
      </c>
      <c r="BQ47" s="42" t="str">
        <f t="shared" si="68"/>
        <v/>
      </c>
      <c r="BR47" s="42" t="str">
        <f t="shared" si="68"/>
        <v/>
      </c>
      <c r="BS47" s="42" t="str">
        <f t="shared" si="68"/>
        <v/>
      </c>
      <c r="BT47" s="42" t="str">
        <f t="shared" si="68"/>
        <v/>
      </c>
      <c r="BU47" s="42" t="str">
        <f t="shared" si="68"/>
        <v/>
      </c>
      <c r="BV47" s="42" t="str">
        <f t="shared" si="68"/>
        <v/>
      </c>
      <c r="BW47" s="42" t="str">
        <f t="shared" si="68"/>
        <v/>
      </c>
      <c r="BX47" s="42" t="str">
        <f t="shared" si="68"/>
        <v/>
      </c>
      <c r="BY47" s="42" t="str">
        <f t="shared" si="69"/>
        <v/>
      </c>
      <c r="BZ47" s="42" t="str">
        <f t="shared" si="69"/>
        <v/>
      </c>
      <c r="CA47" s="42" t="str">
        <f t="shared" si="69"/>
        <v/>
      </c>
      <c r="CB47" s="42" t="str">
        <f t="shared" si="69"/>
        <v/>
      </c>
      <c r="CC47" s="42" t="str">
        <f t="shared" si="69"/>
        <v/>
      </c>
      <c r="CD47" s="42" t="str">
        <f t="shared" si="69"/>
        <v/>
      </c>
      <c r="CE47" s="42" t="str">
        <f t="shared" si="69"/>
        <v/>
      </c>
      <c r="CF47" s="42" t="str">
        <f t="shared" si="69"/>
        <v/>
      </c>
      <c r="CG47" s="42" t="str">
        <f t="shared" si="69"/>
        <v/>
      </c>
      <c r="CH47" s="42" t="str">
        <f t="shared" si="69"/>
        <v/>
      </c>
      <c r="CI47" s="42" t="str">
        <f t="shared" si="69"/>
        <v/>
      </c>
      <c r="CJ47" s="42" t="str">
        <f t="shared" si="69"/>
        <v/>
      </c>
      <c r="CK47" s="42" t="str">
        <f t="shared" si="69"/>
        <v/>
      </c>
    </row>
    <row r="48" spans="1:89" ht="18.75" customHeight="1" thickBot="1">
      <c r="C48" s="19"/>
      <c r="D48" s="9"/>
      <c r="E48" s="22"/>
      <c r="F48" s="20"/>
      <c r="G48" s="20"/>
      <c r="H48" s="20"/>
      <c r="I48" s="23"/>
      <c r="K48" s="24"/>
      <c r="L48" s="20"/>
      <c r="Q48" s="6"/>
      <c r="R48" s="11"/>
      <c r="S48" s="11"/>
      <c r="T48" s="17"/>
      <c r="U48" s="17"/>
      <c r="V48" s="17"/>
      <c r="W48" s="17"/>
      <c r="X48" s="17"/>
      <c r="Y48" s="17"/>
      <c r="Z48" s="33"/>
      <c r="AA48" s="40" t="str">
        <f t="shared" si="64"/>
        <v/>
      </c>
      <c r="AB48" s="41" t="str">
        <f t="shared" si="64"/>
        <v/>
      </c>
      <c r="AC48" s="41" t="str">
        <f t="shared" si="64"/>
        <v/>
      </c>
      <c r="AD48" s="42" t="str">
        <f t="shared" si="64"/>
        <v/>
      </c>
      <c r="AE48" s="40" t="str">
        <f t="shared" si="64"/>
        <v/>
      </c>
      <c r="AF48" s="41" t="str">
        <f t="shared" si="64"/>
        <v/>
      </c>
      <c r="AG48" s="41" t="str">
        <f t="shared" si="64"/>
        <v/>
      </c>
      <c r="AH48" s="42" t="str">
        <f t="shared" si="64"/>
        <v/>
      </c>
      <c r="AI48" s="40" t="str">
        <f t="shared" si="64"/>
        <v/>
      </c>
      <c r="AJ48" s="41" t="str">
        <f t="shared" si="64"/>
        <v/>
      </c>
      <c r="AK48" s="47" t="str">
        <f t="shared" si="65"/>
        <v/>
      </c>
      <c r="AL48" s="53" t="str">
        <f t="shared" si="65"/>
        <v/>
      </c>
      <c r="AM48" s="50" t="str">
        <f t="shared" si="65"/>
        <v/>
      </c>
      <c r="AN48" s="44" t="str">
        <f t="shared" si="65"/>
        <v/>
      </c>
      <c r="AO48" s="41" t="str">
        <f t="shared" si="65"/>
        <v/>
      </c>
      <c r="AP48" s="41" t="str">
        <f t="shared" si="65"/>
        <v/>
      </c>
      <c r="AQ48" s="42" t="str">
        <f t="shared" si="65"/>
        <v/>
      </c>
      <c r="AR48" s="40" t="str">
        <f t="shared" si="65"/>
        <v/>
      </c>
      <c r="AS48" s="41" t="str">
        <f t="shared" si="65"/>
        <v/>
      </c>
      <c r="AT48" s="41" t="str">
        <f t="shared" si="65"/>
        <v/>
      </c>
      <c r="AU48" s="42" t="str">
        <f t="shared" si="66"/>
        <v/>
      </c>
      <c r="AV48" s="40" t="str">
        <f t="shared" si="66"/>
        <v/>
      </c>
      <c r="AW48" s="41" t="str">
        <f t="shared" si="66"/>
        <v/>
      </c>
      <c r="AX48" s="41" t="str">
        <f t="shared" si="66"/>
        <v/>
      </c>
      <c r="AY48" s="41" t="str">
        <f t="shared" si="66"/>
        <v/>
      </c>
      <c r="AZ48" s="42" t="str">
        <f t="shared" si="66"/>
        <v/>
      </c>
      <c r="BA48" s="42" t="str">
        <f t="shared" si="66"/>
        <v/>
      </c>
      <c r="BB48" s="42" t="str">
        <f t="shared" si="66"/>
        <v/>
      </c>
      <c r="BC48" s="42" t="str">
        <f t="shared" si="66"/>
        <v/>
      </c>
      <c r="BD48" s="42" t="str">
        <f t="shared" si="66"/>
        <v/>
      </c>
      <c r="BE48" s="42" t="str">
        <f t="shared" si="67"/>
        <v/>
      </c>
      <c r="BF48" s="42" t="str">
        <f t="shared" si="67"/>
        <v/>
      </c>
      <c r="BG48" s="42" t="str">
        <f t="shared" si="67"/>
        <v/>
      </c>
      <c r="BH48" s="42" t="str">
        <f t="shared" si="67"/>
        <v/>
      </c>
      <c r="BI48" s="42" t="str">
        <f t="shared" si="67"/>
        <v/>
      </c>
      <c r="BJ48" s="42" t="str">
        <f t="shared" si="67"/>
        <v/>
      </c>
      <c r="BK48" s="42" t="str">
        <f t="shared" si="67"/>
        <v/>
      </c>
      <c r="BL48" s="42" t="str">
        <f t="shared" si="67"/>
        <v/>
      </c>
      <c r="BM48" s="42" t="str">
        <f t="shared" si="67"/>
        <v/>
      </c>
      <c r="BN48" s="42" t="str">
        <f t="shared" si="67"/>
        <v/>
      </c>
      <c r="BO48" s="42" t="str">
        <f t="shared" si="68"/>
        <v/>
      </c>
      <c r="BP48" s="42" t="str">
        <f t="shared" si="68"/>
        <v/>
      </c>
      <c r="BQ48" s="42" t="str">
        <f t="shared" si="68"/>
        <v/>
      </c>
      <c r="BR48" s="42" t="str">
        <f t="shared" si="68"/>
        <v/>
      </c>
      <c r="BS48" s="42" t="str">
        <f t="shared" si="68"/>
        <v/>
      </c>
      <c r="BT48" s="42" t="str">
        <f t="shared" si="68"/>
        <v/>
      </c>
      <c r="BU48" s="42" t="str">
        <f t="shared" si="68"/>
        <v/>
      </c>
      <c r="BV48" s="42" t="str">
        <f t="shared" si="68"/>
        <v/>
      </c>
      <c r="BW48" s="42" t="str">
        <f t="shared" si="68"/>
        <v/>
      </c>
      <c r="BX48" s="42" t="str">
        <f t="shared" si="68"/>
        <v/>
      </c>
      <c r="BY48" s="42" t="str">
        <f t="shared" si="69"/>
        <v/>
      </c>
      <c r="BZ48" s="42" t="str">
        <f t="shared" si="69"/>
        <v/>
      </c>
      <c r="CA48" s="42" t="str">
        <f t="shared" si="69"/>
        <v/>
      </c>
      <c r="CB48" s="42" t="str">
        <f t="shared" si="69"/>
        <v/>
      </c>
      <c r="CC48" s="42" t="str">
        <f t="shared" si="69"/>
        <v/>
      </c>
      <c r="CD48" s="42" t="str">
        <f t="shared" si="69"/>
        <v/>
      </c>
      <c r="CE48" s="42" t="str">
        <f t="shared" si="69"/>
        <v/>
      </c>
      <c r="CF48" s="42" t="str">
        <f t="shared" si="69"/>
        <v/>
      </c>
      <c r="CG48" s="42" t="str">
        <f t="shared" si="69"/>
        <v/>
      </c>
      <c r="CH48" s="42" t="str">
        <f t="shared" si="69"/>
        <v/>
      </c>
      <c r="CI48" s="42" t="str">
        <f t="shared" si="69"/>
        <v/>
      </c>
      <c r="CJ48" s="42" t="str">
        <f t="shared" si="69"/>
        <v/>
      </c>
      <c r="CK48" s="42" t="str">
        <f t="shared" si="69"/>
        <v/>
      </c>
    </row>
    <row r="49" spans="3:89" ht="18.75" customHeight="1" thickBot="1">
      <c r="C49" s="19"/>
      <c r="D49" s="9"/>
      <c r="E49" s="22"/>
      <c r="F49" s="20"/>
      <c r="G49" s="20"/>
      <c r="H49" s="20"/>
      <c r="I49" s="23"/>
      <c r="K49" s="24"/>
      <c r="L49" s="20"/>
      <c r="Q49" s="6"/>
      <c r="R49" s="11"/>
      <c r="S49" s="11"/>
      <c r="T49" s="17"/>
      <c r="U49" s="17"/>
      <c r="V49" s="17"/>
      <c r="W49" s="17"/>
      <c r="X49" s="17"/>
      <c r="Y49" s="17"/>
      <c r="Z49" s="33"/>
      <c r="AA49" s="40" t="str">
        <f t="shared" si="64"/>
        <v/>
      </c>
      <c r="AB49" s="41" t="str">
        <f t="shared" si="64"/>
        <v/>
      </c>
      <c r="AC49" s="41" t="str">
        <f t="shared" si="64"/>
        <v/>
      </c>
      <c r="AD49" s="42" t="str">
        <f t="shared" si="64"/>
        <v/>
      </c>
      <c r="AE49" s="40" t="str">
        <f t="shared" si="64"/>
        <v/>
      </c>
      <c r="AF49" s="41" t="str">
        <f t="shared" si="64"/>
        <v/>
      </c>
      <c r="AG49" s="41" t="str">
        <f t="shared" si="64"/>
        <v/>
      </c>
      <c r="AH49" s="42" t="str">
        <f t="shared" si="64"/>
        <v/>
      </c>
      <c r="AI49" s="40" t="str">
        <f t="shared" si="64"/>
        <v/>
      </c>
      <c r="AJ49" s="41" t="str">
        <f t="shared" si="64"/>
        <v/>
      </c>
      <c r="AK49" s="47" t="str">
        <f t="shared" si="65"/>
        <v/>
      </c>
      <c r="AL49" s="53" t="str">
        <f t="shared" si="65"/>
        <v/>
      </c>
      <c r="AM49" s="50" t="str">
        <f t="shared" si="65"/>
        <v/>
      </c>
      <c r="AN49" s="44" t="str">
        <f t="shared" si="65"/>
        <v/>
      </c>
      <c r="AO49" s="41" t="str">
        <f t="shared" si="65"/>
        <v/>
      </c>
      <c r="AP49" s="41" t="str">
        <f t="shared" si="65"/>
        <v/>
      </c>
      <c r="AQ49" s="42" t="str">
        <f t="shared" si="65"/>
        <v/>
      </c>
      <c r="AR49" s="40" t="str">
        <f t="shared" si="65"/>
        <v/>
      </c>
      <c r="AS49" s="41" t="str">
        <f t="shared" si="65"/>
        <v/>
      </c>
      <c r="AT49" s="41" t="str">
        <f t="shared" si="65"/>
        <v/>
      </c>
      <c r="AU49" s="42" t="str">
        <f t="shared" si="66"/>
        <v/>
      </c>
      <c r="AV49" s="40" t="str">
        <f t="shared" si="66"/>
        <v/>
      </c>
      <c r="AW49" s="41" t="str">
        <f t="shared" si="66"/>
        <v/>
      </c>
      <c r="AX49" s="41" t="str">
        <f t="shared" si="66"/>
        <v/>
      </c>
      <c r="AY49" s="41" t="str">
        <f t="shared" si="66"/>
        <v/>
      </c>
      <c r="AZ49" s="42" t="str">
        <f t="shared" si="66"/>
        <v/>
      </c>
      <c r="BA49" s="42" t="str">
        <f t="shared" si="66"/>
        <v/>
      </c>
      <c r="BB49" s="42" t="str">
        <f t="shared" si="66"/>
        <v/>
      </c>
      <c r="BC49" s="42" t="str">
        <f t="shared" si="66"/>
        <v/>
      </c>
      <c r="BD49" s="42" t="str">
        <f t="shared" si="66"/>
        <v/>
      </c>
      <c r="BE49" s="42" t="str">
        <f t="shared" si="67"/>
        <v/>
      </c>
      <c r="BF49" s="42" t="str">
        <f t="shared" si="67"/>
        <v/>
      </c>
      <c r="BG49" s="42" t="str">
        <f t="shared" si="67"/>
        <v/>
      </c>
      <c r="BH49" s="42" t="str">
        <f t="shared" si="67"/>
        <v/>
      </c>
      <c r="BI49" s="42" t="str">
        <f t="shared" si="67"/>
        <v/>
      </c>
      <c r="BJ49" s="42" t="str">
        <f t="shared" si="67"/>
        <v/>
      </c>
      <c r="BK49" s="42" t="str">
        <f t="shared" si="67"/>
        <v/>
      </c>
      <c r="BL49" s="42" t="str">
        <f t="shared" si="67"/>
        <v/>
      </c>
      <c r="BM49" s="42" t="str">
        <f t="shared" si="67"/>
        <v/>
      </c>
      <c r="BN49" s="42" t="str">
        <f t="shared" si="67"/>
        <v/>
      </c>
      <c r="BO49" s="42" t="str">
        <f t="shared" si="68"/>
        <v/>
      </c>
      <c r="BP49" s="42" t="str">
        <f t="shared" si="68"/>
        <v/>
      </c>
      <c r="BQ49" s="42" t="str">
        <f t="shared" si="68"/>
        <v/>
      </c>
      <c r="BR49" s="42" t="str">
        <f t="shared" si="68"/>
        <v/>
      </c>
      <c r="BS49" s="42" t="str">
        <f t="shared" si="68"/>
        <v/>
      </c>
      <c r="BT49" s="42" t="str">
        <f t="shared" si="68"/>
        <v/>
      </c>
      <c r="BU49" s="42" t="str">
        <f t="shared" si="68"/>
        <v/>
      </c>
      <c r="BV49" s="42" t="str">
        <f t="shared" si="68"/>
        <v/>
      </c>
      <c r="BW49" s="42" t="str">
        <f t="shared" si="68"/>
        <v/>
      </c>
      <c r="BX49" s="42" t="str">
        <f t="shared" si="68"/>
        <v/>
      </c>
      <c r="BY49" s="42" t="str">
        <f t="shared" si="69"/>
        <v/>
      </c>
      <c r="BZ49" s="42" t="str">
        <f t="shared" si="69"/>
        <v/>
      </c>
      <c r="CA49" s="42" t="str">
        <f t="shared" si="69"/>
        <v/>
      </c>
      <c r="CB49" s="42" t="str">
        <f t="shared" si="69"/>
        <v/>
      </c>
      <c r="CC49" s="42" t="str">
        <f t="shared" si="69"/>
        <v/>
      </c>
      <c r="CD49" s="42" t="str">
        <f t="shared" si="69"/>
        <v/>
      </c>
      <c r="CE49" s="42" t="str">
        <f t="shared" si="69"/>
        <v/>
      </c>
      <c r="CF49" s="42" t="str">
        <f t="shared" si="69"/>
        <v/>
      </c>
      <c r="CG49" s="42" t="str">
        <f t="shared" si="69"/>
        <v/>
      </c>
      <c r="CH49" s="42" t="str">
        <f t="shared" si="69"/>
        <v/>
      </c>
      <c r="CI49" s="42" t="str">
        <f t="shared" si="69"/>
        <v/>
      </c>
      <c r="CJ49" s="42" t="str">
        <f t="shared" si="69"/>
        <v/>
      </c>
      <c r="CK49" s="42" t="str">
        <f t="shared" si="69"/>
        <v/>
      </c>
    </row>
    <row r="50" spans="3:89" ht="18.75" customHeight="1" thickBot="1">
      <c r="C50" s="19"/>
      <c r="D50" s="9"/>
      <c r="E50" s="22"/>
      <c r="F50" s="20"/>
      <c r="G50" s="20"/>
      <c r="H50" s="20"/>
      <c r="I50" s="23"/>
      <c r="K50" s="24"/>
      <c r="L50" s="20"/>
      <c r="Q50" s="6"/>
      <c r="R50" s="11"/>
      <c r="S50" s="11"/>
      <c r="T50" s="17"/>
      <c r="U50" s="17"/>
      <c r="V50" s="17"/>
      <c r="W50" s="17"/>
      <c r="X50" s="17"/>
      <c r="Y50" s="17"/>
      <c r="Z50" s="33"/>
      <c r="AA50" s="40" t="str">
        <f t="shared" si="64"/>
        <v/>
      </c>
      <c r="AB50" s="41" t="str">
        <f t="shared" si="64"/>
        <v/>
      </c>
      <c r="AC50" s="41" t="str">
        <f t="shared" si="64"/>
        <v/>
      </c>
      <c r="AD50" s="42" t="str">
        <f t="shared" si="64"/>
        <v/>
      </c>
      <c r="AE50" s="40" t="str">
        <f t="shared" si="64"/>
        <v/>
      </c>
      <c r="AF50" s="41" t="str">
        <f t="shared" si="64"/>
        <v/>
      </c>
      <c r="AG50" s="41" t="str">
        <f t="shared" si="64"/>
        <v/>
      </c>
      <c r="AH50" s="42" t="str">
        <f t="shared" si="64"/>
        <v/>
      </c>
      <c r="AI50" s="40" t="str">
        <f t="shared" si="64"/>
        <v/>
      </c>
      <c r="AJ50" s="41" t="str">
        <f t="shared" si="64"/>
        <v/>
      </c>
      <c r="AK50" s="47" t="str">
        <f t="shared" si="65"/>
        <v/>
      </c>
      <c r="AL50" s="53" t="str">
        <f t="shared" si="65"/>
        <v/>
      </c>
      <c r="AM50" s="50" t="str">
        <f t="shared" si="65"/>
        <v/>
      </c>
      <c r="AN50" s="44" t="str">
        <f t="shared" si="65"/>
        <v/>
      </c>
      <c r="AO50" s="41" t="str">
        <f t="shared" si="65"/>
        <v/>
      </c>
      <c r="AP50" s="41" t="str">
        <f t="shared" si="65"/>
        <v/>
      </c>
      <c r="AQ50" s="42" t="str">
        <f t="shared" si="65"/>
        <v/>
      </c>
      <c r="AR50" s="40" t="str">
        <f t="shared" si="65"/>
        <v/>
      </c>
      <c r="AS50" s="41" t="str">
        <f t="shared" si="65"/>
        <v/>
      </c>
      <c r="AT50" s="41" t="str">
        <f t="shared" si="65"/>
        <v/>
      </c>
      <c r="AU50" s="42" t="str">
        <f t="shared" si="66"/>
        <v/>
      </c>
      <c r="AV50" s="40" t="str">
        <f t="shared" si="66"/>
        <v/>
      </c>
      <c r="AW50" s="41" t="str">
        <f t="shared" si="66"/>
        <v/>
      </c>
      <c r="AX50" s="41" t="str">
        <f t="shared" si="66"/>
        <v/>
      </c>
      <c r="AY50" s="41" t="str">
        <f t="shared" si="66"/>
        <v/>
      </c>
      <c r="AZ50" s="42" t="str">
        <f t="shared" si="66"/>
        <v/>
      </c>
      <c r="BA50" s="42" t="str">
        <f t="shared" si="66"/>
        <v/>
      </c>
      <c r="BB50" s="42" t="str">
        <f t="shared" si="66"/>
        <v/>
      </c>
      <c r="BC50" s="42" t="str">
        <f t="shared" si="66"/>
        <v/>
      </c>
      <c r="BD50" s="42" t="str">
        <f t="shared" si="66"/>
        <v/>
      </c>
      <c r="BE50" s="42" t="str">
        <f t="shared" si="67"/>
        <v/>
      </c>
      <c r="BF50" s="42" t="str">
        <f t="shared" si="67"/>
        <v/>
      </c>
      <c r="BG50" s="42" t="str">
        <f t="shared" si="67"/>
        <v/>
      </c>
      <c r="BH50" s="42" t="str">
        <f t="shared" si="67"/>
        <v/>
      </c>
      <c r="BI50" s="42" t="str">
        <f t="shared" si="67"/>
        <v/>
      </c>
      <c r="BJ50" s="42" t="str">
        <f t="shared" si="67"/>
        <v/>
      </c>
      <c r="BK50" s="42" t="str">
        <f t="shared" si="67"/>
        <v/>
      </c>
      <c r="BL50" s="42" t="str">
        <f t="shared" si="67"/>
        <v/>
      </c>
      <c r="BM50" s="42" t="str">
        <f t="shared" si="67"/>
        <v/>
      </c>
      <c r="BN50" s="42" t="str">
        <f t="shared" si="67"/>
        <v/>
      </c>
      <c r="BO50" s="42" t="str">
        <f t="shared" si="68"/>
        <v/>
      </c>
      <c r="BP50" s="42" t="str">
        <f t="shared" si="68"/>
        <v/>
      </c>
      <c r="BQ50" s="42" t="str">
        <f t="shared" si="68"/>
        <v/>
      </c>
      <c r="BR50" s="42" t="str">
        <f t="shared" si="68"/>
        <v/>
      </c>
      <c r="BS50" s="42" t="str">
        <f t="shared" si="68"/>
        <v/>
      </c>
      <c r="BT50" s="42" t="str">
        <f t="shared" si="68"/>
        <v/>
      </c>
      <c r="BU50" s="42" t="str">
        <f t="shared" si="68"/>
        <v/>
      </c>
      <c r="BV50" s="42" t="str">
        <f t="shared" si="68"/>
        <v/>
      </c>
      <c r="BW50" s="42" t="str">
        <f t="shared" si="68"/>
        <v/>
      </c>
      <c r="BX50" s="42" t="str">
        <f t="shared" si="68"/>
        <v/>
      </c>
      <c r="BY50" s="42" t="str">
        <f t="shared" si="69"/>
        <v/>
      </c>
      <c r="BZ50" s="42" t="str">
        <f t="shared" si="69"/>
        <v/>
      </c>
      <c r="CA50" s="42" t="str">
        <f t="shared" si="69"/>
        <v/>
      </c>
      <c r="CB50" s="42" t="str">
        <f t="shared" si="69"/>
        <v/>
      </c>
      <c r="CC50" s="42" t="str">
        <f t="shared" si="69"/>
        <v/>
      </c>
      <c r="CD50" s="42" t="str">
        <f t="shared" si="69"/>
        <v/>
      </c>
      <c r="CE50" s="42" t="str">
        <f t="shared" si="69"/>
        <v/>
      </c>
      <c r="CF50" s="42" t="str">
        <f t="shared" si="69"/>
        <v/>
      </c>
      <c r="CG50" s="42" t="str">
        <f t="shared" si="69"/>
        <v/>
      </c>
      <c r="CH50" s="42" t="str">
        <f t="shared" si="69"/>
        <v/>
      </c>
      <c r="CI50" s="42" t="str">
        <f t="shared" si="69"/>
        <v/>
      </c>
      <c r="CJ50" s="42" t="str">
        <f t="shared" si="69"/>
        <v/>
      </c>
      <c r="CK50" s="42" t="str">
        <f t="shared" si="69"/>
        <v/>
      </c>
    </row>
    <row r="51" spans="3:89" ht="18.75" customHeight="1" thickBot="1">
      <c r="C51" s="19"/>
      <c r="D51" s="9"/>
      <c r="E51" s="22"/>
      <c r="F51" s="20"/>
      <c r="G51" s="20"/>
      <c r="H51" s="20"/>
      <c r="I51" s="23"/>
      <c r="K51" s="24"/>
      <c r="L51" s="20"/>
      <c r="Q51" s="6"/>
      <c r="R51" s="11"/>
      <c r="S51" s="11"/>
      <c r="T51" s="17"/>
      <c r="U51" s="17"/>
      <c r="V51" s="17"/>
      <c r="W51" s="17"/>
      <c r="X51" s="17"/>
      <c r="Y51" s="17"/>
      <c r="Z51" s="33"/>
      <c r="AA51" s="40" t="str">
        <f t="shared" si="64"/>
        <v/>
      </c>
      <c r="AB51" s="41" t="str">
        <f t="shared" si="64"/>
        <v/>
      </c>
      <c r="AC51" s="41" t="str">
        <f t="shared" si="64"/>
        <v/>
      </c>
      <c r="AD51" s="42" t="str">
        <f t="shared" si="64"/>
        <v/>
      </c>
      <c r="AE51" s="40" t="str">
        <f t="shared" si="64"/>
        <v/>
      </c>
      <c r="AF51" s="41" t="str">
        <f t="shared" si="64"/>
        <v/>
      </c>
      <c r="AG51" s="41" t="str">
        <f t="shared" si="64"/>
        <v/>
      </c>
      <c r="AH51" s="42" t="str">
        <f t="shared" si="64"/>
        <v/>
      </c>
      <c r="AI51" s="40" t="str">
        <f t="shared" si="64"/>
        <v/>
      </c>
      <c r="AJ51" s="41" t="str">
        <f t="shared" si="64"/>
        <v/>
      </c>
      <c r="AK51" s="47" t="str">
        <f t="shared" si="65"/>
        <v/>
      </c>
      <c r="AL51" s="53" t="str">
        <f t="shared" si="65"/>
        <v/>
      </c>
      <c r="AM51" s="50" t="str">
        <f t="shared" si="65"/>
        <v/>
      </c>
      <c r="AN51" s="44" t="str">
        <f t="shared" si="65"/>
        <v/>
      </c>
      <c r="AO51" s="41" t="str">
        <f t="shared" si="65"/>
        <v/>
      </c>
      <c r="AP51" s="41" t="str">
        <f t="shared" si="65"/>
        <v/>
      </c>
      <c r="AQ51" s="42" t="str">
        <f t="shared" si="65"/>
        <v/>
      </c>
      <c r="AR51" s="40" t="str">
        <f t="shared" si="65"/>
        <v/>
      </c>
      <c r="AS51" s="41" t="str">
        <f t="shared" si="65"/>
        <v/>
      </c>
      <c r="AT51" s="41" t="str">
        <f t="shared" si="65"/>
        <v/>
      </c>
      <c r="AU51" s="42" t="str">
        <f t="shared" si="66"/>
        <v/>
      </c>
      <c r="AV51" s="40" t="str">
        <f t="shared" si="66"/>
        <v/>
      </c>
      <c r="AW51" s="41" t="str">
        <f t="shared" si="66"/>
        <v/>
      </c>
      <c r="AX51" s="41" t="str">
        <f t="shared" si="66"/>
        <v/>
      </c>
      <c r="AY51" s="41" t="str">
        <f t="shared" si="66"/>
        <v/>
      </c>
      <c r="AZ51" s="42" t="str">
        <f t="shared" si="66"/>
        <v/>
      </c>
      <c r="BA51" s="42" t="str">
        <f t="shared" si="66"/>
        <v/>
      </c>
      <c r="BB51" s="42" t="str">
        <f t="shared" si="66"/>
        <v/>
      </c>
      <c r="BC51" s="42" t="str">
        <f t="shared" si="66"/>
        <v/>
      </c>
      <c r="BD51" s="42" t="str">
        <f t="shared" si="66"/>
        <v/>
      </c>
      <c r="BE51" s="42" t="str">
        <f t="shared" si="67"/>
        <v/>
      </c>
      <c r="BF51" s="42" t="str">
        <f t="shared" si="67"/>
        <v/>
      </c>
      <c r="BG51" s="42" t="str">
        <f t="shared" si="67"/>
        <v/>
      </c>
      <c r="BH51" s="42" t="str">
        <f t="shared" si="67"/>
        <v/>
      </c>
      <c r="BI51" s="42" t="str">
        <f t="shared" si="67"/>
        <v/>
      </c>
      <c r="BJ51" s="42" t="str">
        <f t="shared" si="67"/>
        <v/>
      </c>
      <c r="BK51" s="42" t="str">
        <f t="shared" si="67"/>
        <v/>
      </c>
      <c r="BL51" s="42" t="str">
        <f t="shared" si="67"/>
        <v/>
      </c>
      <c r="BM51" s="42" t="str">
        <f t="shared" si="67"/>
        <v/>
      </c>
      <c r="BN51" s="42" t="str">
        <f t="shared" si="67"/>
        <v/>
      </c>
      <c r="BO51" s="42" t="str">
        <f t="shared" si="68"/>
        <v/>
      </c>
      <c r="BP51" s="42" t="str">
        <f t="shared" si="68"/>
        <v/>
      </c>
      <c r="BQ51" s="42" t="str">
        <f t="shared" si="68"/>
        <v/>
      </c>
      <c r="BR51" s="42" t="str">
        <f t="shared" si="68"/>
        <v/>
      </c>
      <c r="BS51" s="42" t="str">
        <f t="shared" si="68"/>
        <v/>
      </c>
      <c r="BT51" s="42" t="str">
        <f t="shared" si="68"/>
        <v/>
      </c>
      <c r="BU51" s="42" t="str">
        <f t="shared" si="68"/>
        <v/>
      </c>
      <c r="BV51" s="42" t="str">
        <f t="shared" si="68"/>
        <v/>
      </c>
      <c r="BW51" s="42" t="str">
        <f t="shared" si="68"/>
        <v/>
      </c>
      <c r="BX51" s="42" t="str">
        <f t="shared" si="68"/>
        <v/>
      </c>
      <c r="BY51" s="42" t="str">
        <f t="shared" si="69"/>
        <v/>
      </c>
      <c r="BZ51" s="42" t="str">
        <f t="shared" si="69"/>
        <v/>
      </c>
      <c r="CA51" s="42" t="str">
        <f t="shared" si="69"/>
        <v/>
      </c>
      <c r="CB51" s="42" t="str">
        <f t="shared" si="69"/>
        <v/>
      </c>
      <c r="CC51" s="42" t="str">
        <f t="shared" si="69"/>
        <v/>
      </c>
      <c r="CD51" s="42" t="str">
        <f t="shared" si="69"/>
        <v/>
      </c>
      <c r="CE51" s="42" t="str">
        <f t="shared" si="69"/>
        <v/>
      </c>
      <c r="CF51" s="42" t="str">
        <f t="shared" si="69"/>
        <v/>
      </c>
      <c r="CG51" s="42" t="str">
        <f t="shared" si="69"/>
        <v/>
      </c>
      <c r="CH51" s="42" t="str">
        <f t="shared" si="69"/>
        <v/>
      </c>
      <c r="CI51" s="42" t="str">
        <f t="shared" si="69"/>
        <v/>
      </c>
      <c r="CJ51" s="42" t="str">
        <f t="shared" si="69"/>
        <v/>
      </c>
      <c r="CK51" s="42" t="str">
        <f t="shared" si="69"/>
        <v/>
      </c>
    </row>
    <row r="52" spans="3:89" ht="18.75" customHeight="1" thickBot="1">
      <c r="C52" s="19"/>
      <c r="D52" s="9"/>
      <c r="E52" s="22"/>
      <c r="F52" s="20"/>
      <c r="G52" s="20"/>
      <c r="H52" s="20"/>
      <c r="I52" s="23"/>
      <c r="K52" s="24"/>
      <c r="L52" s="20"/>
      <c r="Q52" s="6"/>
      <c r="R52" s="11"/>
      <c r="S52" s="11"/>
      <c r="T52" s="17"/>
      <c r="U52" s="17"/>
      <c r="V52" s="17"/>
      <c r="W52" s="17"/>
      <c r="X52" s="17"/>
      <c r="Y52" s="17"/>
      <c r="Z52" s="33"/>
      <c r="AA52" s="40" t="str">
        <f t="shared" si="64"/>
        <v/>
      </c>
      <c r="AB52" s="41" t="str">
        <f t="shared" si="64"/>
        <v/>
      </c>
      <c r="AC52" s="41" t="str">
        <f t="shared" si="64"/>
        <v/>
      </c>
      <c r="AD52" s="42" t="str">
        <f t="shared" si="64"/>
        <v/>
      </c>
      <c r="AE52" s="40" t="str">
        <f t="shared" si="64"/>
        <v/>
      </c>
      <c r="AF52" s="41" t="str">
        <f t="shared" si="64"/>
        <v/>
      </c>
      <c r="AG52" s="41" t="str">
        <f t="shared" si="64"/>
        <v/>
      </c>
      <c r="AH52" s="42" t="str">
        <f t="shared" si="64"/>
        <v/>
      </c>
      <c r="AI52" s="40" t="str">
        <f t="shared" si="64"/>
        <v/>
      </c>
      <c r="AJ52" s="41" t="str">
        <f t="shared" si="64"/>
        <v/>
      </c>
      <c r="AK52" s="47" t="str">
        <f t="shared" si="65"/>
        <v/>
      </c>
      <c r="AL52" s="53" t="str">
        <f t="shared" si="65"/>
        <v/>
      </c>
      <c r="AM52" s="50" t="str">
        <f t="shared" si="65"/>
        <v/>
      </c>
      <c r="AN52" s="44" t="str">
        <f t="shared" si="65"/>
        <v/>
      </c>
      <c r="AO52" s="41" t="str">
        <f t="shared" si="65"/>
        <v/>
      </c>
      <c r="AP52" s="41" t="str">
        <f t="shared" si="65"/>
        <v/>
      </c>
      <c r="AQ52" s="42" t="str">
        <f t="shared" si="65"/>
        <v/>
      </c>
      <c r="AR52" s="40" t="str">
        <f t="shared" si="65"/>
        <v/>
      </c>
      <c r="AS52" s="41" t="str">
        <f t="shared" si="65"/>
        <v/>
      </c>
      <c r="AT52" s="41" t="str">
        <f t="shared" si="65"/>
        <v/>
      </c>
      <c r="AU52" s="42" t="str">
        <f t="shared" si="66"/>
        <v/>
      </c>
      <c r="AV52" s="40" t="str">
        <f t="shared" si="66"/>
        <v/>
      </c>
      <c r="AW52" s="41" t="str">
        <f t="shared" si="66"/>
        <v/>
      </c>
      <c r="AX52" s="41" t="str">
        <f t="shared" si="66"/>
        <v/>
      </c>
      <c r="AY52" s="41" t="str">
        <f t="shared" si="66"/>
        <v/>
      </c>
      <c r="AZ52" s="42" t="str">
        <f t="shared" si="66"/>
        <v/>
      </c>
      <c r="BA52" s="42" t="str">
        <f t="shared" si="66"/>
        <v/>
      </c>
      <c r="BB52" s="42" t="str">
        <f t="shared" si="66"/>
        <v/>
      </c>
      <c r="BC52" s="42" t="str">
        <f t="shared" si="66"/>
        <v/>
      </c>
      <c r="BD52" s="42" t="str">
        <f t="shared" si="66"/>
        <v/>
      </c>
      <c r="BE52" s="42" t="str">
        <f t="shared" si="67"/>
        <v/>
      </c>
      <c r="BF52" s="42" t="str">
        <f t="shared" si="67"/>
        <v/>
      </c>
      <c r="BG52" s="42" t="str">
        <f t="shared" si="67"/>
        <v/>
      </c>
      <c r="BH52" s="42" t="str">
        <f t="shared" si="67"/>
        <v/>
      </c>
      <c r="BI52" s="42" t="str">
        <f t="shared" si="67"/>
        <v/>
      </c>
      <c r="BJ52" s="42" t="str">
        <f t="shared" si="67"/>
        <v/>
      </c>
      <c r="BK52" s="42" t="str">
        <f t="shared" si="67"/>
        <v/>
      </c>
      <c r="BL52" s="42" t="str">
        <f t="shared" si="67"/>
        <v/>
      </c>
      <c r="BM52" s="42" t="str">
        <f t="shared" si="67"/>
        <v/>
      </c>
      <c r="BN52" s="42" t="str">
        <f t="shared" si="67"/>
        <v/>
      </c>
      <c r="BO52" s="42" t="str">
        <f t="shared" si="68"/>
        <v/>
      </c>
      <c r="BP52" s="42" t="str">
        <f t="shared" si="68"/>
        <v/>
      </c>
      <c r="BQ52" s="42" t="str">
        <f t="shared" si="68"/>
        <v/>
      </c>
      <c r="BR52" s="42" t="str">
        <f t="shared" si="68"/>
        <v/>
      </c>
      <c r="BS52" s="42" t="str">
        <f t="shared" si="68"/>
        <v/>
      </c>
      <c r="BT52" s="42" t="str">
        <f t="shared" si="68"/>
        <v/>
      </c>
      <c r="BU52" s="42" t="str">
        <f t="shared" si="68"/>
        <v/>
      </c>
      <c r="BV52" s="42" t="str">
        <f t="shared" si="68"/>
        <v/>
      </c>
      <c r="BW52" s="42" t="str">
        <f t="shared" si="68"/>
        <v/>
      </c>
      <c r="BX52" s="42" t="str">
        <f t="shared" si="68"/>
        <v/>
      </c>
      <c r="BY52" s="42" t="str">
        <f t="shared" si="69"/>
        <v/>
      </c>
      <c r="BZ52" s="42" t="str">
        <f t="shared" si="69"/>
        <v/>
      </c>
      <c r="CA52" s="42" t="str">
        <f t="shared" si="69"/>
        <v/>
      </c>
      <c r="CB52" s="42" t="str">
        <f t="shared" si="69"/>
        <v/>
      </c>
      <c r="CC52" s="42" t="str">
        <f t="shared" si="69"/>
        <v/>
      </c>
      <c r="CD52" s="42" t="str">
        <f t="shared" si="69"/>
        <v/>
      </c>
      <c r="CE52" s="42" t="str">
        <f t="shared" si="69"/>
        <v/>
      </c>
      <c r="CF52" s="42" t="str">
        <f t="shared" si="69"/>
        <v/>
      </c>
      <c r="CG52" s="42" t="str">
        <f t="shared" si="69"/>
        <v/>
      </c>
      <c r="CH52" s="42" t="str">
        <f t="shared" si="69"/>
        <v/>
      </c>
      <c r="CI52" s="42" t="str">
        <f t="shared" si="69"/>
        <v/>
      </c>
      <c r="CJ52" s="42" t="str">
        <f t="shared" si="69"/>
        <v/>
      </c>
      <c r="CK52" s="42" t="str">
        <f t="shared" si="69"/>
        <v/>
      </c>
    </row>
    <row r="53" spans="3:89" ht="18.75" customHeight="1" thickBot="1">
      <c r="C53" s="19"/>
      <c r="D53" s="9"/>
      <c r="E53" s="22"/>
      <c r="F53" s="20"/>
      <c r="G53" s="20"/>
      <c r="H53" s="20"/>
      <c r="I53" s="23"/>
      <c r="K53" s="24"/>
      <c r="L53" s="20"/>
      <c r="Q53" s="6"/>
      <c r="R53" s="11"/>
      <c r="S53" s="11"/>
      <c r="T53" s="17"/>
      <c r="U53" s="17"/>
      <c r="V53" s="17"/>
      <c r="W53" s="17"/>
      <c r="X53" s="17"/>
      <c r="Y53" s="17"/>
      <c r="Z53" s="33"/>
      <c r="AA53" s="40" t="str">
        <f t="shared" ref="AA53:AJ62" si="70">IF($A53="","",IF($B53="Milestone",IF(AND(AA$1&lt;=$R53,AA$1+7&gt;$R53),"◆",""),IF(AND(AA$1&lt;$S53,AA$1+7&gt;$R53),IF($B53="Summary","=",IF($B53="Activity",IF($Z53=TRUE,"X","O"),"")),"")))</f>
        <v/>
      </c>
      <c r="AB53" s="41" t="str">
        <f t="shared" si="70"/>
        <v/>
      </c>
      <c r="AC53" s="41" t="str">
        <f t="shared" si="70"/>
        <v/>
      </c>
      <c r="AD53" s="42" t="str">
        <f t="shared" si="70"/>
        <v/>
      </c>
      <c r="AE53" s="40" t="str">
        <f t="shared" si="70"/>
        <v/>
      </c>
      <c r="AF53" s="41" t="str">
        <f t="shared" si="70"/>
        <v/>
      </c>
      <c r="AG53" s="41" t="str">
        <f t="shared" si="70"/>
        <v/>
      </c>
      <c r="AH53" s="42" t="str">
        <f t="shared" si="70"/>
        <v/>
      </c>
      <c r="AI53" s="40" t="str">
        <f t="shared" si="70"/>
        <v/>
      </c>
      <c r="AJ53" s="41" t="str">
        <f t="shared" si="70"/>
        <v/>
      </c>
      <c r="AK53" s="47" t="str">
        <f t="shared" ref="AK53:AT62" si="71">IF($A53="","",IF($B53="Milestone",IF(AND(AK$1&lt;=$R53,AK$1+7&gt;$R53),"◆",""),IF(AND(AK$1&lt;$S53,AK$1+7&gt;$R53),IF($B53="Summary","=",IF($B53="Activity",IF($Z53=TRUE,"X","O"),"")),"")))</f>
        <v/>
      </c>
      <c r="AL53" s="53" t="str">
        <f t="shared" si="71"/>
        <v/>
      </c>
      <c r="AM53" s="50" t="str">
        <f t="shared" si="71"/>
        <v/>
      </c>
      <c r="AN53" s="44" t="str">
        <f t="shared" si="71"/>
        <v/>
      </c>
      <c r="AO53" s="41" t="str">
        <f t="shared" si="71"/>
        <v/>
      </c>
      <c r="AP53" s="41" t="str">
        <f t="shared" si="71"/>
        <v/>
      </c>
      <c r="AQ53" s="42" t="str">
        <f t="shared" si="71"/>
        <v/>
      </c>
      <c r="AR53" s="40" t="str">
        <f t="shared" si="71"/>
        <v/>
      </c>
      <c r="AS53" s="41" t="str">
        <f t="shared" si="71"/>
        <v/>
      </c>
      <c r="AT53" s="41" t="str">
        <f t="shared" si="71"/>
        <v/>
      </c>
      <c r="AU53" s="42" t="str">
        <f t="shared" ref="AU53:BD62" si="72">IF($A53="","",IF($B53="Milestone",IF(AND(AU$1&lt;=$R53,AU$1+7&gt;$R53),"◆",""),IF(AND(AU$1&lt;$S53,AU$1+7&gt;$R53),IF($B53="Summary","=",IF($B53="Activity",IF($Z53=TRUE,"X","O"),"")),"")))</f>
        <v/>
      </c>
      <c r="AV53" s="40" t="str">
        <f t="shared" si="72"/>
        <v/>
      </c>
      <c r="AW53" s="41" t="str">
        <f t="shared" si="72"/>
        <v/>
      </c>
      <c r="AX53" s="41" t="str">
        <f t="shared" si="72"/>
        <v/>
      </c>
      <c r="AY53" s="41" t="str">
        <f t="shared" si="72"/>
        <v/>
      </c>
      <c r="AZ53" s="42" t="str">
        <f t="shared" si="72"/>
        <v/>
      </c>
      <c r="BA53" s="42" t="str">
        <f t="shared" si="72"/>
        <v/>
      </c>
      <c r="BB53" s="42" t="str">
        <f t="shared" si="72"/>
        <v/>
      </c>
      <c r="BC53" s="42" t="str">
        <f t="shared" si="72"/>
        <v/>
      </c>
      <c r="BD53" s="42" t="str">
        <f t="shared" si="72"/>
        <v/>
      </c>
      <c r="BE53" s="42" t="str">
        <f t="shared" ref="BE53:BN62" si="73">IF($A53="","",IF($B53="Milestone",IF(AND(BE$1&lt;=$R53,BE$1+7&gt;$R53),"◆",""),IF(AND(BE$1&lt;$S53,BE$1+7&gt;$R53),IF($B53="Summary","=",IF($B53="Activity",IF($Z53=TRUE,"X","O"),"")),"")))</f>
        <v/>
      </c>
      <c r="BF53" s="42" t="str">
        <f t="shared" si="73"/>
        <v/>
      </c>
      <c r="BG53" s="42" t="str">
        <f t="shared" si="73"/>
        <v/>
      </c>
      <c r="BH53" s="42" t="str">
        <f t="shared" si="73"/>
        <v/>
      </c>
      <c r="BI53" s="42" t="str">
        <f t="shared" si="73"/>
        <v/>
      </c>
      <c r="BJ53" s="42" t="str">
        <f t="shared" si="73"/>
        <v/>
      </c>
      <c r="BK53" s="42" t="str">
        <f t="shared" si="73"/>
        <v/>
      </c>
      <c r="BL53" s="42" t="str">
        <f t="shared" si="73"/>
        <v/>
      </c>
      <c r="BM53" s="42" t="str">
        <f t="shared" si="73"/>
        <v/>
      </c>
      <c r="BN53" s="42" t="str">
        <f t="shared" si="73"/>
        <v/>
      </c>
      <c r="BO53" s="42" t="str">
        <f t="shared" ref="BO53:BX62" si="74">IF($A53="","",IF($B53="Milestone",IF(AND(BO$1&lt;=$R53,BO$1+7&gt;$R53),"◆",""),IF(AND(BO$1&lt;$S53,BO$1+7&gt;$R53),IF($B53="Summary","=",IF($B53="Activity",IF($Z53=TRUE,"X","O"),"")),"")))</f>
        <v/>
      </c>
      <c r="BP53" s="42" t="str">
        <f t="shared" si="74"/>
        <v/>
      </c>
      <c r="BQ53" s="42" t="str">
        <f t="shared" si="74"/>
        <v/>
      </c>
      <c r="BR53" s="42" t="str">
        <f t="shared" si="74"/>
        <v/>
      </c>
      <c r="BS53" s="42" t="str">
        <f t="shared" si="74"/>
        <v/>
      </c>
      <c r="BT53" s="42" t="str">
        <f t="shared" si="74"/>
        <v/>
      </c>
      <c r="BU53" s="42" t="str">
        <f t="shared" si="74"/>
        <v/>
      </c>
      <c r="BV53" s="42" t="str">
        <f t="shared" si="74"/>
        <v/>
      </c>
      <c r="BW53" s="42" t="str">
        <f t="shared" si="74"/>
        <v/>
      </c>
      <c r="BX53" s="42" t="str">
        <f t="shared" si="74"/>
        <v/>
      </c>
      <c r="BY53" s="42" t="str">
        <f t="shared" ref="BY53:CK62" si="75">IF($A53="","",IF($B53="Milestone",IF(AND(BY$1&lt;=$R53,BY$1+7&gt;$R53),"◆",""),IF(AND(BY$1&lt;$S53,BY$1+7&gt;$R53),IF($B53="Summary","=",IF($B53="Activity",IF($Z53=TRUE,"X","O"),"")),"")))</f>
        <v/>
      </c>
      <c r="BZ53" s="42" t="str">
        <f t="shared" si="75"/>
        <v/>
      </c>
      <c r="CA53" s="42" t="str">
        <f t="shared" si="75"/>
        <v/>
      </c>
      <c r="CB53" s="42" t="str">
        <f t="shared" si="75"/>
        <v/>
      </c>
      <c r="CC53" s="42" t="str">
        <f t="shared" si="75"/>
        <v/>
      </c>
      <c r="CD53" s="42" t="str">
        <f t="shared" si="75"/>
        <v/>
      </c>
      <c r="CE53" s="42" t="str">
        <f t="shared" si="75"/>
        <v/>
      </c>
      <c r="CF53" s="42" t="str">
        <f t="shared" si="75"/>
        <v/>
      </c>
      <c r="CG53" s="42" t="str">
        <f t="shared" si="75"/>
        <v/>
      </c>
      <c r="CH53" s="42" t="str">
        <f t="shared" si="75"/>
        <v/>
      </c>
      <c r="CI53" s="42" t="str">
        <f t="shared" si="75"/>
        <v/>
      </c>
      <c r="CJ53" s="42" t="str">
        <f t="shared" si="75"/>
        <v/>
      </c>
      <c r="CK53" s="42" t="str">
        <f t="shared" si="75"/>
        <v/>
      </c>
    </row>
    <row r="54" spans="3:89" ht="18.75" customHeight="1" thickBot="1">
      <c r="C54" s="19"/>
      <c r="D54" s="9"/>
      <c r="E54" s="22"/>
      <c r="F54" s="20"/>
      <c r="G54" s="20"/>
      <c r="H54" s="20"/>
      <c r="I54" s="23"/>
      <c r="K54" s="24"/>
      <c r="L54" s="20"/>
      <c r="Q54" s="6"/>
      <c r="R54" s="11"/>
      <c r="S54" s="11"/>
      <c r="T54" s="17"/>
      <c r="U54" s="17"/>
      <c r="V54" s="17"/>
      <c r="W54" s="17"/>
      <c r="X54" s="17"/>
      <c r="Y54" s="17"/>
      <c r="Z54" s="33"/>
      <c r="AA54" s="40" t="str">
        <f t="shared" si="70"/>
        <v/>
      </c>
      <c r="AB54" s="41" t="str">
        <f t="shared" si="70"/>
        <v/>
      </c>
      <c r="AC54" s="41" t="str">
        <f t="shared" si="70"/>
        <v/>
      </c>
      <c r="AD54" s="42" t="str">
        <f t="shared" si="70"/>
        <v/>
      </c>
      <c r="AE54" s="40" t="str">
        <f t="shared" si="70"/>
        <v/>
      </c>
      <c r="AF54" s="41" t="str">
        <f t="shared" si="70"/>
        <v/>
      </c>
      <c r="AG54" s="41" t="str">
        <f t="shared" si="70"/>
        <v/>
      </c>
      <c r="AH54" s="42" t="str">
        <f t="shared" si="70"/>
        <v/>
      </c>
      <c r="AI54" s="40" t="str">
        <f t="shared" si="70"/>
        <v/>
      </c>
      <c r="AJ54" s="41" t="str">
        <f t="shared" si="70"/>
        <v/>
      </c>
      <c r="AK54" s="47" t="str">
        <f t="shared" si="71"/>
        <v/>
      </c>
      <c r="AL54" s="53" t="str">
        <f t="shared" si="71"/>
        <v/>
      </c>
      <c r="AM54" s="50" t="str">
        <f t="shared" si="71"/>
        <v/>
      </c>
      <c r="AN54" s="44" t="str">
        <f t="shared" si="71"/>
        <v/>
      </c>
      <c r="AO54" s="41" t="str">
        <f t="shared" si="71"/>
        <v/>
      </c>
      <c r="AP54" s="41" t="str">
        <f t="shared" si="71"/>
        <v/>
      </c>
      <c r="AQ54" s="42" t="str">
        <f t="shared" si="71"/>
        <v/>
      </c>
      <c r="AR54" s="40" t="str">
        <f t="shared" si="71"/>
        <v/>
      </c>
      <c r="AS54" s="41" t="str">
        <f t="shared" si="71"/>
        <v/>
      </c>
      <c r="AT54" s="41" t="str">
        <f t="shared" si="71"/>
        <v/>
      </c>
      <c r="AU54" s="42" t="str">
        <f t="shared" si="72"/>
        <v/>
      </c>
      <c r="AV54" s="40" t="str">
        <f t="shared" si="72"/>
        <v/>
      </c>
      <c r="AW54" s="41" t="str">
        <f t="shared" si="72"/>
        <v/>
      </c>
      <c r="AX54" s="41" t="str">
        <f t="shared" si="72"/>
        <v/>
      </c>
      <c r="AY54" s="41" t="str">
        <f t="shared" si="72"/>
        <v/>
      </c>
      <c r="AZ54" s="42" t="str">
        <f t="shared" si="72"/>
        <v/>
      </c>
      <c r="BA54" s="42" t="str">
        <f t="shared" si="72"/>
        <v/>
      </c>
      <c r="BB54" s="42" t="str">
        <f t="shared" si="72"/>
        <v/>
      </c>
      <c r="BC54" s="42" t="str">
        <f t="shared" si="72"/>
        <v/>
      </c>
      <c r="BD54" s="42" t="str">
        <f t="shared" si="72"/>
        <v/>
      </c>
      <c r="BE54" s="42" t="str">
        <f t="shared" si="73"/>
        <v/>
      </c>
      <c r="BF54" s="42" t="str">
        <f t="shared" si="73"/>
        <v/>
      </c>
      <c r="BG54" s="42" t="str">
        <f t="shared" si="73"/>
        <v/>
      </c>
      <c r="BH54" s="42" t="str">
        <f t="shared" si="73"/>
        <v/>
      </c>
      <c r="BI54" s="42" t="str">
        <f t="shared" si="73"/>
        <v/>
      </c>
      <c r="BJ54" s="42" t="str">
        <f t="shared" si="73"/>
        <v/>
      </c>
      <c r="BK54" s="42" t="str">
        <f t="shared" si="73"/>
        <v/>
      </c>
      <c r="BL54" s="42" t="str">
        <f t="shared" si="73"/>
        <v/>
      </c>
      <c r="BM54" s="42" t="str">
        <f t="shared" si="73"/>
        <v/>
      </c>
      <c r="BN54" s="42" t="str">
        <f t="shared" si="73"/>
        <v/>
      </c>
      <c r="BO54" s="42" t="str">
        <f t="shared" si="74"/>
        <v/>
      </c>
      <c r="BP54" s="42" t="str">
        <f t="shared" si="74"/>
        <v/>
      </c>
      <c r="BQ54" s="42" t="str">
        <f t="shared" si="74"/>
        <v/>
      </c>
      <c r="BR54" s="42" t="str">
        <f t="shared" si="74"/>
        <v/>
      </c>
      <c r="BS54" s="42" t="str">
        <f t="shared" si="74"/>
        <v/>
      </c>
      <c r="BT54" s="42" t="str">
        <f t="shared" si="74"/>
        <v/>
      </c>
      <c r="BU54" s="42" t="str">
        <f t="shared" si="74"/>
        <v/>
      </c>
      <c r="BV54" s="42" t="str">
        <f t="shared" si="74"/>
        <v/>
      </c>
      <c r="BW54" s="42" t="str">
        <f t="shared" si="74"/>
        <v/>
      </c>
      <c r="BX54" s="42" t="str">
        <f t="shared" si="74"/>
        <v/>
      </c>
      <c r="BY54" s="42" t="str">
        <f t="shared" si="75"/>
        <v/>
      </c>
      <c r="BZ54" s="42" t="str">
        <f t="shared" si="75"/>
        <v/>
      </c>
      <c r="CA54" s="42" t="str">
        <f t="shared" si="75"/>
        <v/>
      </c>
      <c r="CB54" s="42" t="str">
        <f t="shared" si="75"/>
        <v/>
      </c>
      <c r="CC54" s="42" t="str">
        <f t="shared" si="75"/>
        <v/>
      </c>
      <c r="CD54" s="42" t="str">
        <f t="shared" si="75"/>
        <v/>
      </c>
      <c r="CE54" s="42" t="str">
        <f t="shared" si="75"/>
        <v/>
      </c>
      <c r="CF54" s="42" t="str">
        <f t="shared" si="75"/>
        <v/>
      </c>
      <c r="CG54" s="42" t="str">
        <f t="shared" si="75"/>
        <v/>
      </c>
      <c r="CH54" s="42" t="str">
        <f t="shared" si="75"/>
        <v/>
      </c>
      <c r="CI54" s="42" t="str">
        <f t="shared" si="75"/>
        <v/>
      </c>
      <c r="CJ54" s="42" t="str">
        <f t="shared" si="75"/>
        <v/>
      </c>
      <c r="CK54" s="42" t="str">
        <f t="shared" si="75"/>
        <v/>
      </c>
    </row>
    <row r="55" spans="3:89" ht="18.75" customHeight="1" thickBot="1">
      <c r="C55" s="19"/>
      <c r="D55" s="9"/>
      <c r="E55" s="22"/>
      <c r="F55" s="20"/>
      <c r="G55" s="20"/>
      <c r="H55" s="20"/>
      <c r="I55" s="23"/>
      <c r="K55" s="24"/>
      <c r="L55" s="20"/>
      <c r="Q55" s="6"/>
      <c r="R55" s="11"/>
      <c r="S55" s="11"/>
      <c r="T55" s="17"/>
      <c r="U55" s="17"/>
      <c r="V55" s="17"/>
      <c r="W55" s="17"/>
      <c r="X55" s="17"/>
      <c r="Y55" s="17"/>
      <c r="Z55" s="33"/>
      <c r="AA55" s="40" t="str">
        <f t="shared" si="70"/>
        <v/>
      </c>
      <c r="AB55" s="41" t="str">
        <f t="shared" si="70"/>
        <v/>
      </c>
      <c r="AC55" s="41" t="str">
        <f t="shared" si="70"/>
        <v/>
      </c>
      <c r="AD55" s="42" t="str">
        <f t="shared" si="70"/>
        <v/>
      </c>
      <c r="AE55" s="40" t="str">
        <f t="shared" si="70"/>
        <v/>
      </c>
      <c r="AF55" s="41" t="str">
        <f t="shared" si="70"/>
        <v/>
      </c>
      <c r="AG55" s="41" t="str">
        <f t="shared" si="70"/>
        <v/>
      </c>
      <c r="AH55" s="42" t="str">
        <f t="shared" si="70"/>
        <v/>
      </c>
      <c r="AI55" s="40" t="str">
        <f t="shared" si="70"/>
        <v/>
      </c>
      <c r="AJ55" s="41" t="str">
        <f t="shared" si="70"/>
        <v/>
      </c>
      <c r="AK55" s="47" t="str">
        <f t="shared" si="71"/>
        <v/>
      </c>
      <c r="AL55" s="53" t="str">
        <f t="shared" si="71"/>
        <v/>
      </c>
      <c r="AM55" s="50" t="str">
        <f t="shared" si="71"/>
        <v/>
      </c>
      <c r="AN55" s="44" t="str">
        <f t="shared" si="71"/>
        <v/>
      </c>
      <c r="AO55" s="41" t="str">
        <f t="shared" si="71"/>
        <v/>
      </c>
      <c r="AP55" s="41" t="str">
        <f t="shared" si="71"/>
        <v/>
      </c>
      <c r="AQ55" s="42" t="str">
        <f t="shared" si="71"/>
        <v/>
      </c>
      <c r="AR55" s="40" t="str">
        <f t="shared" si="71"/>
        <v/>
      </c>
      <c r="AS55" s="41" t="str">
        <f t="shared" si="71"/>
        <v/>
      </c>
      <c r="AT55" s="41" t="str">
        <f t="shared" si="71"/>
        <v/>
      </c>
      <c r="AU55" s="42" t="str">
        <f t="shared" si="72"/>
        <v/>
      </c>
      <c r="AV55" s="40" t="str">
        <f t="shared" si="72"/>
        <v/>
      </c>
      <c r="AW55" s="41" t="str">
        <f t="shared" si="72"/>
        <v/>
      </c>
      <c r="AX55" s="41" t="str">
        <f t="shared" si="72"/>
        <v/>
      </c>
      <c r="AY55" s="41" t="str">
        <f t="shared" si="72"/>
        <v/>
      </c>
      <c r="AZ55" s="42" t="str">
        <f t="shared" si="72"/>
        <v/>
      </c>
      <c r="BA55" s="42" t="str">
        <f t="shared" si="72"/>
        <v/>
      </c>
      <c r="BB55" s="42" t="str">
        <f t="shared" si="72"/>
        <v/>
      </c>
      <c r="BC55" s="42" t="str">
        <f t="shared" si="72"/>
        <v/>
      </c>
      <c r="BD55" s="42" t="str">
        <f t="shared" si="72"/>
        <v/>
      </c>
      <c r="BE55" s="42" t="str">
        <f t="shared" si="73"/>
        <v/>
      </c>
      <c r="BF55" s="42" t="str">
        <f t="shared" si="73"/>
        <v/>
      </c>
      <c r="BG55" s="42" t="str">
        <f t="shared" si="73"/>
        <v/>
      </c>
      <c r="BH55" s="42" t="str">
        <f t="shared" si="73"/>
        <v/>
      </c>
      <c r="BI55" s="42" t="str">
        <f t="shared" si="73"/>
        <v/>
      </c>
      <c r="BJ55" s="42" t="str">
        <f t="shared" si="73"/>
        <v/>
      </c>
      <c r="BK55" s="42" t="str">
        <f t="shared" si="73"/>
        <v/>
      </c>
      <c r="BL55" s="42" t="str">
        <f t="shared" si="73"/>
        <v/>
      </c>
      <c r="BM55" s="42" t="str">
        <f t="shared" si="73"/>
        <v/>
      </c>
      <c r="BN55" s="42" t="str">
        <f t="shared" si="73"/>
        <v/>
      </c>
      <c r="BO55" s="42" t="str">
        <f t="shared" si="74"/>
        <v/>
      </c>
      <c r="BP55" s="42" t="str">
        <f t="shared" si="74"/>
        <v/>
      </c>
      <c r="BQ55" s="42" t="str">
        <f t="shared" si="74"/>
        <v/>
      </c>
      <c r="BR55" s="42" t="str">
        <f t="shared" si="74"/>
        <v/>
      </c>
      <c r="BS55" s="42" t="str">
        <f t="shared" si="74"/>
        <v/>
      </c>
      <c r="BT55" s="42" t="str">
        <f t="shared" si="74"/>
        <v/>
      </c>
      <c r="BU55" s="42" t="str">
        <f t="shared" si="74"/>
        <v/>
      </c>
      <c r="BV55" s="42" t="str">
        <f t="shared" si="74"/>
        <v/>
      </c>
      <c r="BW55" s="42" t="str">
        <f t="shared" si="74"/>
        <v/>
      </c>
      <c r="BX55" s="42" t="str">
        <f t="shared" si="74"/>
        <v/>
      </c>
      <c r="BY55" s="42" t="str">
        <f t="shared" si="75"/>
        <v/>
      </c>
      <c r="BZ55" s="42" t="str">
        <f t="shared" si="75"/>
        <v/>
      </c>
      <c r="CA55" s="42" t="str">
        <f t="shared" si="75"/>
        <v/>
      </c>
      <c r="CB55" s="42" t="str">
        <f t="shared" si="75"/>
        <v/>
      </c>
      <c r="CC55" s="42" t="str">
        <f t="shared" si="75"/>
        <v/>
      </c>
      <c r="CD55" s="42" t="str">
        <f t="shared" si="75"/>
        <v/>
      </c>
      <c r="CE55" s="42" t="str">
        <f t="shared" si="75"/>
        <v/>
      </c>
      <c r="CF55" s="42" t="str">
        <f t="shared" si="75"/>
        <v/>
      </c>
      <c r="CG55" s="42" t="str">
        <f t="shared" si="75"/>
        <v/>
      </c>
      <c r="CH55" s="42" t="str">
        <f t="shared" si="75"/>
        <v/>
      </c>
      <c r="CI55" s="42" t="str">
        <f t="shared" si="75"/>
        <v/>
      </c>
      <c r="CJ55" s="42" t="str">
        <f t="shared" si="75"/>
        <v/>
      </c>
      <c r="CK55" s="42" t="str">
        <f t="shared" si="75"/>
        <v/>
      </c>
    </row>
    <row r="56" spans="3:89" ht="18.75" customHeight="1" thickBot="1">
      <c r="C56" s="19"/>
      <c r="D56" s="9"/>
      <c r="E56" s="22"/>
      <c r="F56" s="20"/>
      <c r="G56" s="20"/>
      <c r="H56" s="20"/>
      <c r="I56" s="23"/>
      <c r="K56" s="24"/>
      <c r="L56" s="20"/>
      <c r="Q56" s="6"/>
      <c r="R56" s="11"/>
      <c r="S56" s="11"/>
      <c r="T56" s="17"/>
      <c r="U56" s="17"/>
      <c r="V56" s="17"/>
      <c r="W56" s="17"/>
      <c r="X56" s="17"/>
      <c r="Y56" s="17"/>
      <c r="Z56" s="33"/>
      <c r="AA56" s="40" t="str">
        <f t="shared" si="70"/>
        <v/>
      </c>
      <c r="AB56" s="41" t="str">
        <f t="shared" si="70"/>
        <v/>
      </c>
      <c r="AC56" s="41" t="str">
        <f t="shared" si="70"/>
        <v/>
      </c>
      <c r="AD56" s="42" t="str">
        <f t="shared" si="70"/>
        <v/>
      </c>
      <c r="AE56" s="40" t="str">
        <f t="shared" si="70"/>
        <v/>
      </c>
      <c r="AF56" s="41" t="str">
        <f t="shared" si="70"/>
        <v/>
      </c>
      <c r="AG56" s="41" t="str">
        <f t="shared" si="70"/>
        <v/>
      </c>
      <c r="AH56" s="42" t="str">
        <f t="shared" si="70"/>
        <v/>
      </c>
      <c r="AI56" s="40" t="str">
        <f t="shared" si="70"/>
        <v/>
      </c>
      <c r="AJ56" s="41" t="str">
        <f t="shared" si="70"/>
        <v/>
      </c>
      <c r="AK56" s="47" t="str">
        <f t="shared" si="71"/>
        <v/>
      </c>
      <c r="AL56" s="53" t="str">
        <f t="shared" si="71"/>
        <v/>
      </c>
      <c r="AM56" s="50" t="str">
        <f t="shared" si="71"/>
        <v/>
      </c>
      <c r="AN56" s="44" t="str">
        <f t="shared" si="71"/>
        <v/>
      </c>
      <c r="AO56" s="41" t="str">
        <f t="shared" si="71"/>
        <v/>
      </c>
      <c r="AP56" s="41" t="str">
        <f t="shared" si="71"/>
        <v/>
      </c>
      <c r="AQ56" s="42" t="str">
        <f t="shared" si="71"/>
        <v/>
      </c>
      <c r="AR56" s="40" t="str">
        <f t="shared" si="71"/>
        <v/>
      </c>
      <c r="AS56" s="41" t="str">
        <f t="shared" si="71"/>
        <v/>
      </c>
      <c r="AT56" s="41" t="str">
        <f t="shared" si="71"/>
        <v/>
      </c>
      <c r="AU56" s="42" t="str">
        <f t="shared" si="72"/>
        <v/>
      </c>
      <c r="AV56" s="40" t="str">
        <f t="shared" si="72"/>
        <v/>
      </c>
      <c r="AW56" s="41" t="str">
        <f t="shared" si="72"/>
        <v/>
      </c>
      <c r="AX56" s="41" t="str">
        <f t="shared" si="72"/>
        <v/>
      </c>
      <c r="AY56" s="41" t="str">
        <f t="shared" si="72"/>
        <v/>
      </c>
      <c r="AZ56" s="42" t="str">
        <f t="shared" si="72"/>
        <v/>
      </c>
      <c r="BA56" s="42" t="str">
        <f t="shared" si="72"/>
        <v/>
      </c>
      <c r="BB56" s="42" t="str">
        <f t="shared" si="72"/>
        <v/>
      </c>
      <c r="BC56" s="42" t="str">
        <f t="shared" si="72"/>
        <v/>
      </c>
      <c r="BD56" s="42" t="str">
        <f t="shared" si="72"/>
        <v/>
      </c>
      <c r="BE56" s="42" t="str">
        <f t="shared" si="73"/>
        <v/>
      </c>
      <c r="BF56" s="42" t="str">
        <f t="shared" si="73"/>
        <v/>
      </c>
      <c r="BG56" s="42" t="str">
        <f t="shared" si="73"/>
        <v/>
      </c>
      <c r="BH56" s="42" t="str">
        <f t="shared" si="73"/>
        <v/>
      </c>
      <c r="BI56" s="42" t="str">
        <f t="shared" si="73"/>
        <v/>
      </c>
      <c r="BJ56" s="42" t="str">
        <f t="shared" si="73"/>
        <v/>
      </c>
      <c r="BK56" s="42" t="str">
        <f t="shared" si="73"/>
        <v/>
      </c>
      <c r="BL56" s="42" t="str">
        <f t="shared" si="73"/>
        <v/>
      </c>
      <c r="BM56" s="42" t="str">
        <f t="shared" si="73"/>
        <v/>
      </c>
      <c r="BN56" s="42" t="str">
        <f t="shared" si="73"/>
        <v/>
      </c>
      <c r="BO56" s="42" t="str">
        <f t="shared" si="74"/>
        <v/>
      </c>
      <c r="BP56" s="42" t="str">
        <f t="shared" si="74"/>
        <v/>
      </c>
      <c r="BQ56" s="42" t="str">
        <f t="shared" si="74"/>
        <v/>
      </c>
      <c r="BR56" s="42" t="str">
        <f t="shared" si="74"/>
        <v/>
      </c>
      <c r="BS56" s="42" t="str">
        <f t="shared" si="74"/>
        <v/>
      </c>
      <c r="BT56" s="42" t="str">
        <f t="shared" si="74"/>
        <v/>
      </c>
      <c r="BU56" s="42" t="str">
        <f t="shared" si="74"/>
        <v/>
      </c>
      <c r="BV56" s="42" t="str">
        <f t="shared" si="74"/>
        <v/>
      </c>
      <c r="BW56" s="42" t="str">
        <f t="shared" si="74"/>
        <v/>
      </c>
      <c r="BX56" s="42" t="str">
        <f t="shared" si="74"/>
        <v/>
      </c>
      <c r="BY56" s="42" t="str">
        <f t="shared" si="75"/>
        <v/>
      </c>
      <c r="BZ56" s="42" t="str">
        <f t="shared" si="75"/>
        <v/>
      </c>
      <c r="CA56" s="42" t="str">
        <f t="shared" si="75"/>
        <v/>
      </c>
      <c r="CB56" s="42" t="str">
        <f t="shared" si="75"/>
        <v/>
      </c>
      <c r="CC56" s="42" t="str">
        <f t="shared" si="75"/>
        <v/>
      </c>
      <c r="CD56" s="42" t="str">
        <f t="shared" si="75"/>
        <v/>
      </c>
      <c r="CE56" s="42" t="str">
        <f t="shared" si="75"/>
        <v/>
      </c>
      <c r="CF56" s="42" t="str">
        <f t="shared" si="75"/>
        <v/>
      </c>
      <c r="CG56" s="42" t="str">
        <f t="shared" si="75"/>
        <v/>
      </c>
      <c r="CH56" s="42" t="str">
        <f t="shared" si="75"/>
        <v/>
      </c>
      <c r="CI56" s="42" t="str">
        <f t="shared" si="75"/>
        <v/>
      </c>
      <c r="CJ56" s="42" t="str">
        <f t="shared" si="75"/>
        <v/>
      </c>
      <c r="CK56" s="42" t="str">
        <f t="shared" si="75"/>
        <v/>
      </c>
    </row>
    <row r="57" spans="3:89" ht="18.75" customHeight="1" thickBot="1">
      <c r="C57" s="19"/>
      <c r="D57" s="9"/>
      <c r="E57" s="22"/>
      <c r="F57" s="20"/>
      <c r="G57" s="20"/>
      <c r="H57" s="20"/>
      <c r="I57" s="23"/>
      <c r="K57" s="24"/>
      <c r="L57" s="20"/>
      <c r="Q57" s="6"/>
      <c r="R57" s="11"/>
      <c r="S57" s="11"/>
      <c r="T57" s="17"/>
      <c r="U57" s="17"/>
      <c r="V57" s="17"/>
      <c r="W57" s="17"/>
      <c r="X57" s="17"/>
      <c r="Y57" s="17"/>
      <c r="Z57" s="33"/>
      <c r="AA57" s="40" t="str">
        <f t="shared" si="70"/>
        <v/>
      </c>
      <c r="AB57" s="41" t="str">
        <f t="shared" si="70"/>
        <v/>
      </c>
      <c r="AC57" s="41" t="str">
        <f t="shared" si="70"/>
        <v/>
      </c>
      <c r="AD57" s="42" t="str">
        <f t="shared" si="70"/>
        <v/>
      </c>
      <c r="AE57" s="40" t="str">
        <f t="shared" si="70"/>
        <v/>
      </c>
      <c r="AF57" s="41" t="str">
        <f t="shared" si="70"/>
        <v/>
      </c>
      <c r="AG57" s="41" t="str">
        <f t="shared" si="70"/>
        <v/>
      </c>
      <c r="AH57" s="42" t="str">
        <f t="shared" si="70"/>
        <v/>
      </c>
      <c r="AI57" s="40" t="str">
        <f t="shared" si="70"/>
        <v/>
      </c>
      <c r="AJ57" s="41" t="str">
        <f t="shared" si="70"/>
        <v/>
      </c>
      <c r="AK57" s="47" t="str">
        <f t="shared" si="71"/>
        <v/>
      </c>
      <c r="AL57" s="53" t="str">
        <f t="shared" si="71"/>
        <v/>
      </c>
      <c r="AM57" s="50" t="str">
        <f t="shared" si="71"/>
        <v/>
      </c>
      <c r="AN57" s="44" t="str">
        <f t="shared" si="71"/>
        <v/>
      </c>
      <c r="AO57" s="41" t="str">
        <f t="shared" si="71"/>
        <v/>
      </c>
      <c r="AP57" s="41" t="str">
        <f t="shared" si="71"/>
        <v/>
      </c>
      <c r="AQ57" s="42" t="str">
        <f t="shared" si="71"/>
        <v/>
      </c>
      <c r="AR57" s="40" t="str">
        <f t="shared" si="71"/>
        <v/>
      </c>
      <c r="AS57" s="41" t="str">
        <f t="shared" si="71"/>
        <v/>
      </c>
      <c r="AT57" s="41" t="str">
        <f t="shared" si="71"/>
        <v/>
      </c>
      <c r="AU57" s="42" t="str">
        <f t="shared" si="72"/>
        <v/>
      </c>
      <c r="AV57" s="40" t="str">
        <f t="shared" si="72"/>
        <v/>
      </c>
      <c r="AW57" s="41" t="str">
        <f t="shared" si="72"/>
        <v/>
      </c>
      <c r="AX57" s="41" t="str">
        <f t="shared" si="72"/>
        <v/>
      </c>
      <c r="AY57" s="41" t="str">
        <f t="shared" si="72"/>
        <v/>
      </c>
      <c r="AZ57" s="42" t="str">
        <f t="shared" si="72"/>
        <v/>
      </c>
      <c r="BA57" s="42" t="str">
        <f t="shared" si="72"/>
        <v/>
      </c>
      <c r="BB57" s="42" t="str">
        <f t="shared" si="72"/>
        <v/>
      </c>
      <c r="BC57" s="42" t="str">
        <f t="shared" si="72"/>
        <v/>
      </c>
      <c r="BD57" s="42" t="str">
        <f t="shared" si="72"/>
        <v/>
      </c>
      <c r="BE57" s="42" t="str">
        <f t="shared" si="73"/>
        <v/>
      </c>
      <c r="BF57" s="42" t="str">
        <f t="shared" si="73"/>
        <v/>
      </c>
      <c r="BG57" s="42" t="str">
        <f t="shared" si="73"/>
        <v/>
      </c>
      <c r="BH57" s="42" t="str">
        <f t="shared" si="73"/>
        <v/>
      </c>
      <c r="BI57" s="42" t="str">
        <f t="shared" si="73"/>
        <v/>
      </c>
      <c r="BJ57" s="42" t="str">
        <f t="shared" si="73"/>
        <v/>
      </c>
      <c r="BK57" s="42" t="str">
        <f t="shared" si="73"/>
        <v/>
      </c>
      <c r="BL57" s="42" t="str">
        <f t="shared" si="73"/>
        <v/>
      </c>
      <c r="BM57" s="42" t="str">
        <f t="shared" si="73"/>
        <v/>
      </c>
      <c r="BN57" s="42" t="str">
        <f t="shared" si="73"/>
        <v/>
      </c>
      <c r="BO57" s="42" t="str">
        <f t="shared" si="74"/>
        <v/>
      </c>
      <c r="BP57" s="42" t="str">
        <f t="shared" si="74"/>
        <v/>
      </c>
      <c r="BQ57" s="42" t="str">
        <f t="shared" si="74"/>
        <v/>
      </c>
      <c r="BR57" s="42" t="str">
        <f t="shared" si="74"/>
        <v/>
      </c>
      <c r="BS57" s="42" t="str">
        <f t="shared" si="74"/>
        <v/>
      </c>
      <c r="BT57" s="42" t="str">
        <f t="shared" si="74"/>
        <v/>
      </c>
      <c r="BU57" s="42" t="str">
        <f t="shared" si="74"/>
        <v/>
      </c>
      <c r="BV57" s="42" t="str">
        <f t="shared" si="74"/>
        <v/>
      </c>
      <c r="BW57" s="42" t="str">
        <f t="shared" si="74"/>
        <v/>
      </c>
      <c r="BX57" s="42" t="str">
        <f t="shared" si="74"/>
        <v/>
      </c>
      <c r="BY57" s="42" t="str">
        <f t="shared" si="75"/>
        <v/>
      </c>
      <c r="BZ57" s="42" t="str">
        <f t="shared" si="75"/>
        <v/>
      </c>
      <c r="CA57" s="42" t="str">
        <f t="shared" si="75"/>
        <v/>
      </c>
      <c r="CB57" s="42" t="str">
        <f t="shared" si="75"/>
        <v/>
      </c>
      <c r="CC57" s="42" t="str">
        <f t="shared" si="75"/>
        <v/>
      </c>
      <c r="CD57" s="42" t="str">
        <f t="shared" si="75"/>
        <v/>
      </c>
      <c r="CE57" s="42" t="str">
        <f t="shared" si="75"/>
        <v/>
      </c>
      <c r="CF57" s="42" t="str">
        <f t="shared" si="75"/>
        <v/>
      </c>
      <c r="CG57" s="42" t="str">
        <f t="shared" si="75"/>
        <v/>
      </c>
      <c r="CH57" s="42" t="str">
        <f t="shared" si="75"/>
        <v/>
      </c>
      <c r="CI57" s="42" t="str">
        <f t="shared" si="75"/>
        <v/>
      </c>
      <c r="CJ57" s="42" t="str">
        <f t="shared" si="75"/>
        <v/>
      </c>
      <c r="CK57" s="42" t="str">
        <f t="shared" si="75"/>
        <v/>
      </c>
    </row>
    <row r="58" spans="3:89" ht="18.75" customHeight="1" thickBot="1">
      <c r="C58" s="19"/>
      <c r="D58" s="9"/>
      <c r="E58" s="22"/>
      <c r="F58" s="20"/>
      <c r="G58" s="20"/>
      <c r="H58" s="20"/>
      <c r="I58" s="23"/>
      <c r="K58" s="24"/>
      <c r="L58" s="20"/>
      <c r="Q58" s="6"/>
      <c r="R58" s="11"/>
      <c r="S58" s="11"/>
      <c r="T58" s="17"/>
      <c r="U58" s="17"/>
      <c r="V58" s="17"/>
      <c r="W58" s="17"/>
      <c r="X58" s="17"/>
      <c r="Y58" s="17"/>
      <c r="Z58" s="33"/>
      <c r="AA58" s="40" t="str">
        <f t="shared" si="70"/>
        <v/>
      </c>
      <c r="AB58" s="41" t="str">
        <f t="shared" si="70"/>
        <v/>
      </c>
      <c r="AC58" s="41" t="str">
        <f t="shared" si="70"/>
        <v/>
      </c>
      <c r="AD58" s="42" t="str">
        <f t="shared" si="70"/>
        <v/>
      </c>
      <c r="AE58" s="40" t="str">
        <f t="shared" si="70"/>
        <v/>
      </c>
      <c r="AF58" s="41" t="str">
        <f t="shared" si="70"/>
        <v/>
      </c>
      <c r="AG58" s="41" t="str">
        <f t="shared" si="70"/>
        <v/>
      </c>
      <c r="AH58" s="42" t="str">
        <f t="shared" si="70"/>
        <v/>
      </c>
      <c r="AI58" s="40" t="str">
        <f t="shared" si="70"/>
        <v/>
      </c>
      <c r="AJ58" s="41" t="str">
        <f t="shared" si="70"/>
        <v/>
      </c>
      <c r="AK58" s="47" t="str">
        <f t="shared" si="71"/>
        <v/>
      </c>
      <c r="AL58" s="53" t="str">
        <f t="shared" si="71"/>
        <v/>
      </c>
      <c r="AM58" s="50" t="str">
        <f t="shared" si="71"/>
        <v/>
      </c>
      <c r="AN58" s="44" t="str">
        <f t="shared" si="71"/>
        <v/>
      </c>
      <c r="AO58" s="41" t="str">
        <f t="shared" si="71"/>
        <v/>
      </c>
      <c r="AP58" s="41" t="str">
        <f t="shared" si="71"/>
        <v/>
      </c>
      <c r="AQ58" s="42" t="str">
        <f t="shared" si="71"/>
        <v/>
      </c>
      <c r="AR58" s="40" t="str">
        <f t="shared" si="71"/>
        <v/>
      </c>
      <c r="AS58" s="41" t="str">
        <f t="shared" si="71"/>
        <v/>
      </c>
      <c r="AT58" s="41" t="str">
        <f t="shared" si="71"/>
        <v/>
      </c>
      <c r="AU58" s="42" t="str">
        <f t="shared" si="72"/>
        <v/>
      </c>
      <c r="AV58" s="40" t="str">
        <f t="shared" si="72"/>
        <v/>
      </c>
      <c r="AW58" s="41" t="str">
        <f t="shared" si="72"/>
        <v/>
      </c>
      <c r="AX58" s="41" t="str">
        <f t="shared" si="72"/>
        <v/>
      </c>
      <c r="AY58" s="41" t="str">
        <f t="shared" si="72"/>
        <v/>
      </c>
      <c r="AZ58" s="42" t="str">
        <f t="shared" si="72"/>
        <v/>
      </c>
      <c r="BA58" s="42" t="str">
        <f t="shared" si="72"/>
        <v/>
      </c>
      <c r="BB58" s="42" t="str">
        <f t="shared" si="72"/>
        <v/>
      </c>
      <c r="BC58" s="42" t="str">
        <f t="shared" si="72"/>
        <v/>
      </c>
      <c r="BD58" s="42" t="str">
        <f t="shared" si="72"/>
        <v/>
      </c>
      <c r="BE58" s="42" t="str">
        <f t="shared" si="73"/>
        <v/>
      </c>
      <c r="BF58" s="42" t="str">
        <f t="shared" si="73"/>
        <v/>
      </c>
      <c r="BG58" s="42" t="str">
        <f t="shared" si="73"/>
        <v/>
      </c>
      <c r="BH58" s="42" t="str">
        <f t="shared" si="73"/>
        <v/>
      </c>
      <c r="BI58" s="42" t="str">
        <f t="shared" si="73"/>
        <v/>
      </c>
      <c r="BJ58" s="42" t="str">
        <f t="shared" si="73"/>
        <v/>
      </c>
      <c r="BK58" s="42" t="str">
        <f t="shared" si="73"/>
        <v/>
      </c>
      <c r="BL58" s="42" t="str">
        <f t="shared" si="73"/>
        <v/>
      </c>
      <c r="BM58" s="42" t="str">
        <f t="shared" si="73"/>
        <v/>
      </c>
      <c r="BN58" s="42" t="str">
        <f t="shared" si="73"/>
        <v/>
      </c>
      <c r="BO58" s="42" t="str">
        <f t="shared" si="74"/>
        <v/>
      </c>
      <c r="BP58" s="42" t="str">
        <f t="shared" si="74"/>
        <v/>
      </c>
      <c r="BQ58" s="42" t="str">
        <f t="shared" si="74"/>
        <v/>
      </c>
      <c r="BR58" s="42" t="str">
        <f t="shared" si="74"/>
        <v/>
      </c>
      <c r="BS58" s="42" t="str">
        <f t="shared" si="74"/>
        <v/>
      </c>
      <c r="BT58" s="42" t="str">
        <f t="shared" si="74"/>
        <v/>
      </c>
      <c r="BU58" s="42" t="str">
        <f t="shared" si="74"/>
        <v/>
      </c>
      <c r="BV58" s="42" t="str">
        <f t="shared" si="74"/>
        <v/>
      </c>
      <c r="BW58" s="42" t="str">
        <f t="shared" si="74"/>
        <v/>
      </c>
      <c r="BX58" s="42" t="str">
        <f t="shared" si="74"/>
        <v/>
      </c>
      <c r="BY58" s="42" t="str">
        <f t="shared" si="75"/>
        <v/>
      </c>
      <c r="BZ58" s="42" t="str">
        <f t="shared" si="75"/>
        <v/>
      </c>
      <c r="CA58" s="42" t="str">
        <f t="shared" si="75"/>
        <v/>
      </c>
      <c r="CB58" s="42" t="str">
        <f t="shared" si="75"/>
        <v/>
      </c>
      <c r="CC58" s="42" t="str">
        <f t="shared" si="75"/>
        <v/>
      </c>
      <c r="CD58" s="42" t="str">
        <f t="shared" si="75"/>
        <v/>
      </c>
      <c r="CE58" s="42" t="str">
        <f t="shared" si="75"/>
        <v/>
      </c>
      <c r="CF58" s="42" t="str">
        <f t="shared" si="75"/>
        <v/>
      </c>
      <c r="CG58" s="42" t="str">
        <f t="shared" si="75"/>
        <v/>
      </c>
      <c r="CH58" s="42" t="str">
        <f t="shared" si="75"/>
        <v/>
      </c>
      <c r="CI58" s="42" t="str">
        <f t="shared" si="75"/>
        <v/>
      </c>
      <c r="CJ58" s="42" t="str">
        <f t="shared" si="75"/>
        <v/>
      </c>
      <c r="CK58" s="42" t="str">
        <f t="shared" si="75"/>
        <v/>
      </c>
    </row>
    <row r="59" spans="3:89" ht="18.75" customHeight="1" thickBot="1">
      <c r="C59" s="19"/>
      <c r="D59" s="9"/>
      <c r="E59" s="22"/>
      <c r="F59" s="20"/>
      <c r="G59" s="20"/>
      <c r="H59" s="20"/>
      <c r="I59" s="23"/>
      <c r="K59" s="24"/>
      <c r="L59" s="20"/>
      <c r="Q59" s="6"/>
      <c r="R59" s="11"/>
      <c r="S59" s="11"/>
      <c r="T59" s="17"/>
      <c r="U59" s="17"/>
      <c r="V59" s="17"/>
      <c r="W59" s="17"/>
      <c r="X59" s="17"/>
      <c r="Y59" s="17"/>
      <c r="Z59" s="33"/>
      <c r="AA59" s="40" t="str">
        <f t="shared" si="70"/>
        <v/>
      </c>
      <c r="AB59" s="41" t="str">
        <f t="shared" si="70"/>
        <v/>
      </c>
      <c r="AC59" s="41" t="str">
        <f t="shared" si="70"/>
        <v/>
      </c>
      <c r="AD59" s="42" t="str">
        <f t="shared" si="70"/>
        <v/>
      </c>
      <c r="AE59" s="40" t="str">
        <f t="shared" si="70"/>
        <v/>
      </c>
      <c r="AF59" s="41" t="str">
        <f t="shared" si="70"/>
        <v/>
      </c>
      <c r="AG59" s="41" t="str">
        <f t="shared" si="70"/>
        <v/>
      </c>
      <c r="AH59" s="42" t="str">
        <f t="shared" si="70"/>
        <v/>
      </c>
      <c r="AI59" s="40" t="str">
        <f t="shared" si="70"/>
        <v/>
      </c>
      <c r="AJ59" s="41" t="str">
        <f t="shared" si="70"/>
        <v/>
      </c>
      <c r="AK59" s="47" t="str">
        <f t="shared" si="71"/>
        <v/>
      </c>
      <c r="AL59" s="53" t="str">
        <f t="shared" si="71"/>
        <v/>
      </c>
      <c r="AM59" s="50" t="str">
        <f t="shared" si="71"/>
        <v/>
      </c>
      <c r="AN59" s="44" t="str">
        <f t="shared" si="71"/>
        <v/>
      </c>
      <c r="AO59" s="41" t="str">
        <f t="shared" si="71"/>
        <v/>
      </c>
      <c r="AP59" s="41" t="str">
        <f t="shared" si="71"/>
        <v/>
      </c>
      <c r="AQ59" s="42" t="str">
        <f t="shared" si="71"/>
        <v/>
      </c>
      <c r="AR59" s="40" t="str">
        <f t="shared" si="71"/>
        <v/>
      </c>
      <c r="AS59" s="41" t="str">
        <f t="shared" si="71"/>
        <v/>
      </c>
      <c r="AT59" s="41" t="str">
        <f t="shared" si="71"/>
        <v/>
      </c>
      <c r="AU59" s="42" t="str">
        <f t="shared" si="72"/>
        <v/>
      </c>
      <c r="AV59" s="40" t="str">
        <f t="shared" si="72"/>
        <v/>
      </c>
      <c r="AW59" s="41" t="str">
        <f t="shared" si="72"/>
        <v/>
      </c>
      <c r="AX59" s="41" t="str">
        <f t="shared" si="72"/>
        <v/>
      </c>
      <c r="AY59" s="41" t="str">
        <f t="shared" si="72"/>
        <v/>
      </c>
      <c r="AZ59" s="42" t="str">
        <f t="shared" si="72"/>
        <v/>
      </c>
      <c r="BA59" s="42" t="str">
        <f t="shared" si="72"/>
        <v/>
      </c>
      <c r="BB59" s="42" t="str">
        <f t="shared" si="72"/>
        <v/>
      </c>
      <c r="BC59" s="42" t="str">
        <f t="shared" si="72"/>
        <v/>
      </c>
      <c r="BD59" s="42" t="str">
        <f t="shared" si="72"/>
        <v/>
      </c>
      <c r="BE59" s="42" t="str">
        <f t="shared" si="73"/>
        <v/>
      </c>
      <c r="BF59" s="42" t="str">
        <f t="shared" si="73"/>
        <v/>
      </c>
      <c r="BG59" s="42" t="str">
        <f t="shared" si="73"/>
        <v/>
      </c>
      <c r="BH59" s="42" t="str">
        <f t="shared" si="73"/>
        <v/>
      </c>
      <c r="BI59" s="42" t="str">
        <f t="shared" si="73"/>
        <v/>
      </c>
      <c r="BJ59" s="42" t="str">
        <f t="shared" si="73"/>
        <v/>
      </c>
      <c r="BK59" s="42" t="str">
        <f t="shared" si="73"/>
        <v/>
      </c>
      <c r="BL59" s="42" t="str">
        <f t="shared" si="73"/>
        <v/>
      </c>
      <c r="BM59" s="42" t="str">
        <f t="shared" si="73"/>
        <v/>
      </c>
      <c r="BN59" s="42" t="str">
        <f t="shared" si="73"/>
        <v/>
      </c>
      <c r="BO59" s="42" t="str">
        <f t="shared" si="74"/>
        <v/>
      </c>
      <c r="BP59" s="42" t="str">
        <f t="shared" si="74"/>
        <v/>
      </c>
      <c r="BQ59" s="42" t="str">
        <f t="shared" si="74"/>
        <v/>
      </c>
      <c r="BR59" s="42" t="str">
        <f t="shared" si="74"/>
        <v/>
      </c>
      <c r="BS59" s="42" t="str">
        <f t="shared" si="74"/>
        <v/>
      </c>
      <c r="BT59" s="42" t="str">
        <f t="shared" si="74"/>
        <v/>
      </c>
      <c r="BU59" s="42" t="str">
        <f t="shared" si="74"/>
        <v/>
      </c>
      <c r="BV59" s="42" t="str">
        <f t="shared" si="74"/>
        <v/>
      </c>
      <c r="BW59" s="42" t="str">
        <f t="shared" si="74"/>
        <v/>
      </c>
      <c r="BX59" s="42" t="str">
        <f t="shared" si="74"/>
        <v/>
      </c>
      <c r="BY59" s="42" t="str">
        <f t="shared" si="75"/>
        <v/>
      </c>
      <c r="BZ59" s="42" t="str">
        <f t="shared" si="75"/>
        <v/>
      </c>
      <c r="CA59" s="42" t="str">
        <f t="shared" si="75"/>
        <v/>
      </c>
      <c r="CB59" s="42" t="str">
        <f t="shared" si="75"/>
        <v/>
      </c>
      <c r="CC59" s="42" t="str">
        <f t="shared" si="75"/>
        <v/>
      </c>
      <c r="CD59" s="42" t="str">
        <f t="shared" si="75"/>
        <v/>
      </c>
      <c r="CE59" s="42" t="str">
        <f t="shared" si="75"/>
        <v/>
      </c>
      <c r="CF59" s="42" t="str">
        <f t="shared" si="75"/>
        <v/>
      </c>
      <c r="CG59" s="42" t="str">
        <f t="shared" si="75"/>
        <v/>
      </c>
      <c r="CH59" s="42" t="str">
        <f t="shared" si="75"/>
        <v/>
      </c>
      <c r="CI59" s="42" t="str">
        <f t="shared" si="75"/>
        <v/>
      </c>
      <c r="CJ59" s="42" t="str">
        <f t="shared" si="75"/>
        <v/>
      </c>
      <c r="CK59" s="42" t="str">
        <f t="shared" si="75"/>
        <v/>
      </c>
    </row>
    <row r="60" spans="3:89" ht="18.75" customHeight="1" thickBot="1">
      <c r="C60" s="19"/>
      <c r="D60" s="9"/>
      <c r="E60" s="22"/>
      <c r="F60" s="20"/>
      <c r="G60" s="20"/>
      <c r="H60" s="20"/>
      <c r="I60" s="23"/>
      <c r="K60" s="24"/>
      <c r="L60" s="20"/>
      <c r="Q60" s="6"/>
      <c r="R60" s="11"/>
      <c r="S60" s="11"/>
      <c r="T60" s="17"/>
      <c r="U60" s="17"/>
      <c r="V60" s="17"/>
      <c r="W60" s="17"/>
      <c r="X60" s="17"/>
      <c r="Y60" s="17"/>
      <c r="Z60" s="33"/>
      <c r="AA60" s="40" t="str">
        <f t="shared" si="70"/>
        <v/>
      </c>
      <c r="AB60" s="41" t="str">
        <f t="shared" si="70"/>
        <v/>
      </c>
      <c r="AC60" s="41" t="str">
        <f t="shared" si="70"/>
        <v/>
      </c>
      <c r="AD60" s="42" t="str">
        <f t="shared" si="70"/>
        <v/>
      </c>
      <c r="AE60" s="40" t="str">
        <f t="shared" si="70"/>
        <v/>
      </c>
      <c r="AF60" s="41" t="str">
        <f t="shared" si="70"/>
        <v/>
      </c>
      <c r="AG60" s="41" t="str">
        <f t="shared" si="70"/>
        <v/>
      </c>
      <c r="AH60" s="42" t="str">
        <f t="shared" si="70"/>
        <v/>
      </c>
      <c r="AI60" s="40" t="str">
        <f t="shared" si="70"/>
        <v/>
      </c>
      <c r="AJ60" s="41" t="str">
        <f t="shared" si="70"/>
        <v/>
      </c>
      <c r="AK60" s="47" t="str">
        <f t="shared" si="71"/>
        <v/>
      </c>
      <c r="AL60" s="53" t="str">
        <f t="shared" si="71"/>
        <v/>
      </c>
      <c r="AM60" s="50" t="str">
        <f t="shared" si="71"/>
        <v/>
      </c>
      <c r="AN60" s="44" t="str">
        <f t="shared" si="71"/>
        <v/>
      </c>
      <c r="AO60" s="41" t="str">
        <f t="shared" si="71"/>
        <v/>
      </c>
      <c r="AP60" s="41" t="str">
        <f t="shared" si="71"/>
        <v/>
      </c>
      <c r="AQ60" s="42" t="str">
        <f t="shared" si="71"/>
        <v/>
      </c>
      <c r="AR60" s="40" t="str">
        <f t="shared" si="71"/>
        <v/>
      </c>
      <c r="AS60" s="41" t="str">
        <f t="shared" si="71"/>
        <v/>
      </c>
      <c r="AT60" s="41" t="str">
        <f t="shared" si="71"/>
        <v/>
      </c>
      <c r="AU60" s="42" t="str">
        <f t="shared" si="72"/>
        <v/>
      </c>
      <c r="AV60" s="40" t="str">
        <f t="shared" si="72"/>
        <v/>
      </c>
      <c r="AW60" s="41" t="str">
        <f t="shared" si="72"/>
        <v/>
      </c>
      <c r="AX60" s="41" t="str">
        <f t="shared" si="72"/>
        <v/>
      </c>
      <c r="AY60" s="41" t="str">
        <f t="shared" si="72"/>
        <v/>
      </c>
      <c r="AZ60" s="42" t="str">
        <f t="shared" si="72"/>
        <v/>
      </c>
      <c r="BA60" s="42" t="str">
        <f t="shared" si="72"/>
        <v/>
      </c>
      <c r="BB60" s="42" t="str">
        <f t="shared" si="72"/>
        <v/>
      </c>
      <c r="BC60" s="42" t="str">
        <f t="shared" si="72"/>
        <v/>
      </c>
      <c r="BD60" s="42" t="str">
        <f t="shared" si="72"/>
        <v/>
      </c>
      <c r="BE60" s="42" t="str">
        <f t="shared" si="73"/>
        <v/>
      </c>
      <c r="BF60" s="42" t="str">
        <f t="shared" si="73"/>
        <v/>
      </c>
      <c r="BG60" s="42" t="str">
        <f t="shared" si="73"/>
        <v/>
      </c>
      <c r="BH60" s="42" t="str">
        <f t="shared" si="73"/>
        <v/>
      </c>
      <c r="BI60" s="42" t="str">
        <f t="shared" si="73"/>
        <v/>
      </c>
      <c r="BJ60" s="42" t="str">
        <f t="shared" si="73"/>
        <v/>
      </c>
      <c r="BK60" s="42" t="str">
        <f t="shared" si="73"/>
        <v/>
      </c>
      <c r="BL60" s="42" t="str">
        <f t="shared" si="73"/>
        <v/>
      </c>
      <c r="BM60" s="42" t="str">
        <f t="shared" si="73"/>
        <v/>
      </c>
      <c r="BN60" s="42" t="str">
        <f t="shared" si="73"/>
        <v/>
      </c>
      <c r="BO60" s="42" t="str">
        <f t="shared" si="74"/>
        <v/>
      </c>
      <c r="BP60" s="42" t="str">
        <f t="shared" si="74"/>
        <v/>
      </c>
      <c r="BQ60" s="42" t="str">
        <f t="shared" si="74"/>
        <v/>
      </c>
      <c r="BR60" s="42" t="str">
        <f t="shared" si="74"/>
        <v/>
      </c>
      <c r="BS60" s="42" t="str">
        <f t="shared" si="74"/>
        <v/>
      </c>
      <c r="BT60" s="42" t="str">
        <f t="shared" si="74"/>
        <v/>
      </c>
      <c r="BU60" s="42" t="str">
        <f t="shared" si="74"/>
        <v/>
      </c>
      <c r="BV60" s="42" t="str">
        <f t="shared" si="74"/>
        <v/>
      </c>
      <c r="BW60" s="42" t="str">
        <f t="shared" si="74"/>
        <v/>
      </c>
      <c r="BX60" s="42" t="str">
        <f t="shared" si="74"/>
        <v/>
      </c>
      <c r="BY60" s="42" t="str">
        <f t="shared" si="75"/>
        <v/>
      </c>
      <c r="BZ60" s="42" t="str">
        <f t="shared" si="75"/>
        <v/>
      </c>
      <c r="CA60" s="42" t="str">
        <f t="shared" si="75"/>
        <v/>
      </c>
      <c r="CB60" s="42" t="str">
        <f t="shared" si="75"/>
        <v/>
      </c>
      <c r="CC60" s="42" t="str">
        <f t="shared" si="75"/>
        <v/>
      </c>
      <c r="CD60" s="42" t="str">
        <f t="shared" si="75"/>
        <v/>
      </c>
      <c r="CE60" s="42" t="str">
        <f t="shared" si="75"/>
        <v/>
      </c>
      <c r="CF60" s="42" t="str">
        <f t="shared" si="75"/>
        <v/>
      </c>
      <c r="CG60" s="42" t="str">
        <f t="shared" si="75"/>
        <v/>
      </c>
      <c r="CH60" s="42" t="str">
        <f t="shared" si="75"/>
        <v/>
      </c>
      <c r="CI60" s="42" t="str">
        <f t="shared" si="75"/>
        <v/>
      </c>
      <c r="CJ60" s="42" t="str">
        <f t="shared" si="75"/>
        <v/>
      </c>
      <c r="CK60" s="42" t="str">
        <f t="shared" si="75"/>
        <v/>
      </c>
    </row>
    <row r="61" spans="3:89" ht="18.75" customHeight="1" thickBot="1">
      <c r="C61" s="19"/>
      <c r="D61" s="9"/>
      <c r="E61" s="22"/>
      <c r="F61" s="20"/>
      <c r="G61" s="20"/>
      <c r="H61" s="20"/>
      <c r="I61" s="23"/>
      <c r="K61" s="24"/>
      <c r="L61" s="20"/>
      <c r="Q61" s="6"/>
      <c r="R61" s="11"/>
      <c r="S61" s="11"/>
      <c r="T61" s="17"/>
      <c r="U61" s="17"/>
      <c r="V61" s="17"/>
      <c r="W61" s="17"/>
      <c r="X61" s="17"/>
      <c r="Y61" s="17"/>
      <c r="Z61" s="33"/>
      <c r="AA61" s="40" t="str">
        <f t="shared" si="70"/>
        <v/>
      </c>
      <c r="AB61" s="41" t="str">
        <f t="shared" si="70"/>
        <v/>
      </c>
      <c r="AC61" s="41" t="str">
        <f t="shared" si="70"/>
        <v/>
      </c>
      <c r="AD61" s="42" t="str">
        <f t="shared" si="70"/>
        <v/>
      </c>
      <c r="AE61" s="40" t="str">
        <f t="shared" si="70"/>
        <v/>
      </c>
      <c r="AF61" s="41" t="str">
        <f t="shared" si="70"/>
        <v/>
      </c>
      <c r="AG61" s="41" t="str">
        <f t="shared" si="70"/>
        <v/>
      </c>
      <c r="AH61" s="42" t="str">
        <f t="shared" si="70"/>
        <v/>
      </c>
      <c r="AI61" s="40" t="str">
        <f t="shared" si="70"/>
        <v/>
      </c>
      <c r="AJ61" s="41" t="str">
        <f t="shared" si="70"/>
        <v/>
      </c>
      <c r="AK61" s="47" t="str">
        <f t="shared" si="71"/>
        <v/>
      </c>
      <c r="AL61" s="53" t="str">
        <f t="shared" si="71"/>
        <v/>
      </c>
      <c r="AM61" s="50" t="str">
        <f t="shared" si="71"/>
        <v/>
      </c>
      <c r="AN61" s="44" t="str">
        <f t="shared" si="71"/>
        <v/>
      </c>
      <c r="AO61" s="41" t="str">
        <f t="shared" si="71"/>
        <v/>
      </c>
      <c r="AP61" s="41" t="str">
        <f t="shared" si="71"/>
        <v/>
      </c>
      <c r="AQ61" s="42" t="str">
        <f t="shared" si="71"/>
        <v/>
      </c>
      <c r="AR61" s="40" t="str">
        <f t="shared" si="71"/>
        <v/>
      </c>
      <c r="AS61" s="41" t="str">
        <f t="shared" si="71"/>
        <v/>
      </c>
      <c r="AT61" s="41" t="str">
        <f t="shared" si="71"/>
        <v/>
      </c>
      <c r="AU61" s="42" t="str">
        <f t="shared" si="72"/>
        <v/>
      </c>
      <c r="AV61" s="40" t="str">
        <f t="shared" si="72"/>
        <v/>
      </c>
      <c r="AW61" s="41" t="str">
        <f t="shared" si="72"/>
        <v/>
      </c>
      <c r="AX61" s="41" t="str">
        <f t="shared" si="72"/>
        <v/>
      </c>
      <c r="AY61" s="41" t="str">
        <f t="shared" si="72"/>
        <v/>
      </c>
      <c r="AZ61" s="42" t="str">
        <f t="shared" si="72"/>
        <v/>
      </c>
      <c r="BA61" s="42" t="str">
        <f t="shared" si="72"/>
        <v/>
      </c>
      <c r="BB61" s="42" t="str">
        <f t="shared" si="72"/>
        <v/>
      </c>
      <c r="BC61" s="42" t="str">
        <f t="shared" si="72"/>
        <v/>
      </c>
      <c r="BD61" s="42" t="str">
        <f t="shared" si="72"/>
        <v/>
      </c>
      <c r="BE61" s="42" t="str">
        <f t="shared" si="73"/>
        <v/>
      </c>
      <c r="BF61" s="42" t="str">
        <f t="shared" si="73"/>
        <v/>
      </c>
      <c r="BG61" s="42" t="str">
        <f t="shared" si="73"/>
        <v/>
      </c>
      <c r="BH61" s="42" t="str">
        <f t="shared" si="73"/>
        <v/>
      </c>
      <c r="BI61" s="42" t="str">
        <f t="shared" si="73"/>
        <v/>
      </c>
      <c r="BJ61" s="42" t="str">
        <f t="shared" si="73"/>
        <v/>
      </c>
      <c r="BK61" s="42" t="str">
        <f t="shared" si="73"/>
        <v/>
      </c>
      <c r="BL61" s="42" t="str">
        <f t="shared" si="73"/>
        <v/>
      </c>
      <c r="BM61" s="42" t="str">
        <f t="shared" si="73"/>
        <v/>
      </c>
      <c r="BN61" s="42" t="str">
        <f t="shared" si="73"/>
        <v/>
      </c>
      <c r="BO61" s="42" t="str">
        <f t="shared" si="74"/>
        <v/>
      </c>
      <c r="BP61" s="42" t="str">
        <f t="shared" si="74"/>
        <v/>
      </c>
      <c r="BQ61" s="42" t="str">
        <f t="shared" si="74"/>
        <v/>
      </c>
      <c r="BR61" s="42" t="str">
        <f t="shared" si="74"/>
        <v/>
      </c>
      <c r="BS61" s="42" t="str">
        <f t="shared" si="74"/>
        <v/>
      </c>
      <c r="BT61" s="42" t="str">
        <f t="shared" si="74"/>
        <v/>
      </c>
      <c r="BU61" s="42" t="str">
        <f t="shared" si="74"/>
        <v/>
      </c>
      <c r="BV61" s="42" t="str">
        <f t="shared" si="74"/>
        <v/>
      </c>
      <c r="BW61" s="42" t="str">
        <f t="shared" si="74"/>
        <v/>
      </c>
      <c r="BX61" s="42" t="str">
        <f t="shared" si="74"/>
        <v/>
      </c>
      <c r="BY61" s="42" t="str">
        <f t="shared" si="75"/>
        <v/>
      </c>
      <c r="BZ61" s="42" t="str">
        <f t="shared" si="75"/>
        <v/>
      </c>
      <c r="CA61" s="42" t="str">
        <f t="shared" si="75"/>
        <v/>
      </c>
      <c r="CB61" s="42" t="str">
        <f t="shared" si="75"/>
        <v/>
      </c>
      <c r="CC61" s="42" t="str">
        <f t="shared" si="75"/>
        <v/>
      </c>
      <c r="CD61" s="42" t="str">
        <f t="shared" si="75"/>
        <v/>
      </c>
      <c r="CE61" s="42" t="str">
        <f t="shared" si="75"/>
        <v/>
      </c>
      <c r="CF61" s="42" t="str">
        <f t="shared" si="75"/>
        <v/>
      </c>
      <c r="CG61" s="42" t="str">
        <f t="shared" si="75"/>
        <v/>
      </c>
      <c r="CH61" s="42" t="str">
        <f t="shared" si="75"/>
        <v/>
      </c>
      <c r="CI61" s="42" t="str">
        <f t="shared" si="75"/>
        <v/>
      </c>
      <c r="CJ61" s="42" t="str">
        <f t="shared" si="75"/>
        <v/>
      </c>
      <c r="CK61" s="42" t="str">
        <f t="shared" si="75"/>
        <v/>
      </c>
    </row>
    <row r="62" spans="3:89" ht="18.75" customHeight="1" thickBot="1">
      <c r="C62" s="19"/>
      <c r="D62" s="9"/>
      <c r="E62" s="22"/>
      <c r="F62" s="20"/>
      <c r="G62" s="20"/>
      <c r="H62" s="20"/>
      <c r="I62" s="23"/>
      <c r="K62" s="24"/>
      <c r="L62" s="20"/>
      <c r="Q62" s="6"/>
      <c r="R62" s="11"/>
      <c r="S62" s="11"/>
      <c r="T62" s="17"/>
      <c r="U62" s="17"/>
      <c r="V62" s="17"/>
      <c r="W62" s="17"/>
      <c r="X62" s="17"/>
      <c r="Y62" s="17"/>
      <c r="Z62" s="33"/>
      <c r="AA62" s="40" t="str">
        <f t="shared" si="70"/>
        <v/>
      </c>
      <c r="AB62" s="41" t="str">
        <f t="shared" si="70"/>
        <v/>
      </c>
      <c r="AC62" s="41" t="str">
        <f t="shared" si="70"/>
        <v/>
      </c>
      <c r="AD62" s="42" t="str">
        <f t="shared" si="70"/>
        <v/>
      </c>
      <c r="AE62" s="40" t="str">
        <f t="shared" si="70"/>
        <v/>
      </c>
      <c r="AF62" s="41" t="str">
        <f t="shared" si="70"/>
        <v/>
      </c>
      <c r="AG62" s="41" t="str">
        <f t="shared" si="70"/>
        <v/>
      </c>
      <c r="AH62" s="42" t="str">
        <f t="shared" si="70"/>
        <v/>
      </c>
      <c r="AI62" s="40" t="str">
        <f t="shared" si="70"/>
        <v/>
      </c>
      <c r="AJ62" s="41" t="str">
        <f t="shared" si="70"/>
        <v/>
      </c>
      <c r="AK62" s="47" t="str">
        <f t="shared" si="71"/>
        <v/>
      </c>
      <c r="AL62" s="53" t="str">
        <f t="shared" si="71"/>
        <v/>
      </c>
      <c r="AM62" s="50" t="str">
        <f t="shared" si="71"/>
        <v/>
      </c>
      <c r="AN62" s="44" t="str">
        <f t="shared" si="71"/>
        <v/>
      </c>
      <c r="AO62" s="41" t="str">
        <f t="shared" si="71"/>
        <v/>
      </c>
      <c r="AP62" s="41" t="str">
        <f t="shared" si="71"/>
        <v/>
      </c>
      <c r="AQ62" s="42" t="str">
        <f t="shared" si="71"/>
        <v/>
      </c>
      <c r="AR62" s="40" t="str">
        <f t="shared" si="71"/>
        <v/>
      </c>
      <c r="AS62" s="41" t="str">
        <f t="shared" si="71"/>
        <v/>
      </c>
      <c r="AT62" s="41" t="str">
        <f t="shared" si="71"/>
        <v/>
      </c>
      <c r="AU62" s="42" t="str">
        <f t="shared" si="72"/>
        <v/>
      </c>
      <c r="AV62" s="40" t="str">
        <f t="shared" si="72"/>
        <v/>
      </c>
      <c r="AW62" s="41" t="str">
        <f t="shared" si="72"/>
        <v/>
      </c>
      <c r="AX62" s="41" t="str">
        <f t="shared" si="72"/>
        <v/>
      </c>
      <c r="AY62" s="41" t="str">
        <f t="shared" si="72"/>
        <v/>
      </c>
      <c r="AZ62" s="42" t="str">
        <f t="shared" si="72"/>
        <v/>
      </c>
      <c r="BA62" s="42" t="str">
        <f t="shared" si="72"/>
        <v/>
      </c>
      <c r="BB62" s="42" t="str">
        <f t="shared" si="72"/>
        <v/>
      </c>
      <c r="BC62" s="42" t="str">
        <f t="shared" si="72"/>
        <v/>
      </c>
      <c r="BD62" s="42" t="str">
        <f t="shared" si="72"/>
        <v/>
      </c>
      <c r="BE62" s="42" t="str">
        <f t="shared" si="73"/>
        <v/>
      </c>
      <c r="BF62" s="42" t="str">
        <f t="shared" si="73"/>
        <v/>
      </c>
      <c r="BG62" s="42" t="str">
        <f t="shared" si="73"/>
        <v/>
      </c>
      <c r="BH62" s="42" t="str">
        <f t="shared" si="73"/>
        <v/>
      </c>
      <c r="BI62" s="42" t="str">
        <f t="shared" si="73"/>
        <v/>
      </c>
      <c r="BJ62" s="42" t="str">
        <f t="shared" si="73"/>
        <v/>
      </c>
      <c r="BK62" s="42" t="str">
        <f t="shared" si="73"/>
        <v/>
      </c>
      <c r="BL62" s="42" t="str">
        <f t="shared" si="73"/>
        <v/>
      </c>
      <c r="BM62" s="42" t="str">
        <f t="shared" si="73"/>
        <v/>
      </c>
      <c r="BN62" s="42" t="str">
        <f t="shared" si="73"/>
        <v/>
      </c>
      <c r="BO62" s="42" t="str">
        <f t="shared" si="74"/>
        <v/>
      </c>
      <c r="BP62" s="42" t="str">
        <f t="shared" si="74"/>
        <v/>
      </c>
      <c r="BQ62" s="42" t="str">
        <f t="shared" si="74"/>
        <v/>
      </c>
      <c r="BR62" s="42" t="str">
        <f t="shared" si="74"/>
        <v/>
      </c>
      <c r="BS62" s="42" t="str">
        <f t="shared" si="74"/>
        <v/>
      </c>
      <c r="BT62" s="42" t="str">
        <f t="shared" si="74"/>
        <v/>
      </c>
      <c r="BU62" s="42" t="str">
        <f t="shared" si="74"/>
        <v/>
      </c>
      <c r="BV62" s="42" t="str">
        <f t="shared" si="74"/>
        <v/>
      </c>
      <c r="BW62" s="42" t="str">
        <f t="shared" si="74"/>
        <v/>
      </c>
      <c r="BX62" s="42" t="str">
        <f t="shared" si="74"/>
        <v/>
      </c>
      <c r="BY62" s="42" t="str">
        <f t="shared" si="75"/>
        <v/>
      </c>
      <c r="BZ62" s="42" t="str">
        <f t="shared" si="75"/>
        <v/>
      </c>
      <c r="CA62" s="42" t="str">
        <f t="shared" si="75"/>
        <v/>
      </c>
      <c r="CB62" s="42" t="str">
        <f t="shared" si="75"/>
        <v/>
      </c>
      <c r="CC62" s="42" t="str">
        <f t="shared" si="75"/>
        <v/>
      </c>
      <c r="CD62" s="42" t="str">
        <f t="shared" si="75"/>
        <v/>
      </c>
      <c r="CE62" s="42" t="str">
        <f t="shared" si="75"/>
        <v/>
      </c>
      <c r="CF62" s="42" t="str">
        <f t="shared" si="75"/>
        <v/>
      </c>
      <c r="CG62" s="42" t="str">
        <f t="shared" si="75"/>
        <v/>
      </c>
      <c r="CH62" s="42" t="str">
        <f t="shared" si="75"/>
        <v/>
      </c>
      <c r="CI62" s="42" t="str">
        <f t="shared" si="75"/>
        <v/>
      </c>
      <c r="CJ62" s="42" t="str">
        <f t="shared" si="75"/>
        <v/>
      </c>
      <c r="CK62" s="42" t="str">
        <f t="shared" si="75"/>
        <v/>
      </c>
    </row>
    <row r="63" spans="3:89" ht="18.75" customHeight="1" thickBot="1">
      <c r="C63" s="19"/>
      <c r="D63" s="9"/>
      <c r="E63" s="22"/>
      <c r="F63" s="20"/>
      <c r="G63" s="20"/>
      <c r="H63" s="20"/>
      <c r="I63" s="23"/>
      <c r="K63" s="24"/>
      <c r="L63" s="20"/>
      <c r="Q63" s="6"/>
      <c r="R63" s="11"/>
      <c r="S63" s="11"/>
      <c r="T63" s="17"/>
      <c r="U63" s="17"/>
      <c r="V63" s="17"/>
      <c r="W63" s="17"/>
      <c r="X63" s="17"/>
      <c r="Y63" s="17"/>
      <c r="Z63" s="33"/>
      <c r="AA63" s="40" t="str">
        <f t="shared" ref="AA63:AJ72" si="76">IF($A63="","",IF($B63="Milestone",IF(AND(AA$1&lt;=$R63,AA$1+7&gt;$R63),"◆",""),IF(AND(AA$1&lt;$S63,AA$1+7&gt;$R63),IF($B63="Summary","=",IF($B63="Activity",IF($Z63=TRUE,"X","O"),"")),"")))</f>
        <v/>
      </c>
      <c r="AB63" s="41" t="str">
        <f t="shared" si="76"/>
        <v/>
      </c>
      <c r="AC63" s="41" t="str">
        <f t="shared" si="76"/>
        <v/>
      </c>
      <c r="AD63" s="42" t="str">
        <f t="shared" si="76"/>
        <v/>
      </c>
      <c r="AE63" s="40" t="str">
        <f t="shared" si="76"/>
        <v/>
      </c>
      <c r="AF63" s="41" t="str">
        <f t="shared" si="76"/>
        <v/>
      </c>
      <c r="AG63" s="41" t="str">
        <f t="shared" si="76"/>
        <v/>
      </c>
      <c r="AH63" s="42" t="str">
        <f t="shared" si="76"/>
        <v/>
      </c>
      <c r="AI63" s="40" t="str">
        <f t="shared" si="76"/>
        <v/>
      </c>
      <c r="AJ63" s="41" t="str">
        <f t="shared" si="76"/>
        <v/>
      </c>
      <c r="AK63" s="47" t="str">
        <f t="shared" ref="AK63:AT72" si="77">IF($A63="","",IF($B63="Milestone",IF(AND(AK$1&lt;=$R63,AK$1+7&gt;$R63),"◆",""),IF(AND(AK$1&lt;$S63,AK$1+7&gt;$R63),IF($B63="Summary","=",IF($B63="Activity",IF($Z63=TRUE,"X","O"),"")),"")))</f>
        <v/>
      </c>
      <c r="AL63" s="53" t="str">
        <f t="shared" si="77"/>
        <v/>
      </c>
      <c r="AM63" s="50" t="str">
        <f t="shared" si="77"/>
        <v/>
      </c>
      <c r="AN63" s="44" t="str">
        <f t="shared" si="77"/>
        <v/>
      </c>
      <c r="AO63" s="41" t="str">
        <f t="shared" si="77"/>
        <v/>
      </c>
      <c r="AP63" s="41" t="str">
        <f t="shared" si="77"/>
        <v/>
      </c>
      <c r="AQ63" s="42" t="str">
        <f t="shared" si="77"/>
        <v/>
      </c>
      <c r="AR63" s="40" t="str">
        <f t="shared" si="77"/>
        <v/>
      </c>
      <c r="AS63" s="41" t="str">
        <f t="shared" si="77"/>
        <v/>
      </c>
      <c r="AT63" s="41" t="str">
        <f t="shared" si="77"/>
        <v/>
      </c>
      <c r="AU63" s="42" t="str">
        <f t="shared" ref="AU63:BD72" si="78">IF($A63="","",IF($B63="Milestone",IF(AND(AU$1&lt;=$R63,AU$1+7&gt;$R63),"◆",""),IF(AND(AU$1&lt;$S63,AU$1+7&gt;$R63),IF($B63="Summary","=",IF($B63="Activity",IF($Z63=TRUE,"X","O"),"")),"")))</f>
        <v/>
      </c>
      <c r="AV63" s="40" t="str">
        <f t="shared" si="78"/>
        <v/>
      </c>
      <c r="AW63" s="41" t="str">
        <f t="shared" si="78"/>
        <v/>
      </c>
      <c r="AX63" s="41" t="str">
        <f t="shared" si="78"/>
        <v/>
      </c>
      <c r="AY63" s="41" t="str">
        <f t="shared" si="78"/>
        <v/>
      </c>
      <c r="AZ63" s="42" t="str">
        <f t="shared" si="78"/>
        <v/>
      </c>
      <c r="BA63" s="42" t="str">
        <f t="shared" si="78"/>
        <v/>
      </c>
      <c r="BB63" s="42" t="str">
        <f t="shared" si="78"/>
        <v/>
      </c>
      <c r="BC63" s="42" t="str">
        <f t="shared" si="78"/>
        <v/>
      </c>
      <c r="BD63" s="42" t="str">
        <f t="shared" si="78"/>
        <v/>
      </c>
      <c r="BE63" s="42" t="str">
        <f t="shared" ref="BE63:BN72" si="79">IF($A63="","",IF($B63="Milestone",IF(AND(BE$1&lt;=$R63,BE$1+7&gt;$R63),"◆",""),IF(AND(BE$1&lt;$S63,BE$1+7&gt;$R63),IF($B63="Summary","=",IF($B63="Activity",IF($Z63=TRUE,"X","O"),"")),"")))</f>
        <v/>
      </c>
      <c r="BF63" s="42" t="str">
        <f t="shared" si="79"/>
        <v/>
      </c>
      <c r="BG63" s="42" t="str">
        <f t="shared" si="79"/>
        <v/>
      </c>
      <c r="BH63" s="42" t="str">
        <f t="shared" si="79"/>
        <v/>
      </c>
      <c r="BI63" s="42" t="str">
        <f t="shared" si="79"/>
        <v/>
      </c>
      <c r="BJ63" s="42" t="str">
        <f t="shared" si="79"/>
        <v/>
      </c>
      <c r="BK63" s="42" t="str">
        <f t="shared" si="79"/>
        <v/>
      </c>
      <c r="BL63" s="42" t="str">
        <f t="shared" si="79"/>
        <v/>
      </c>
      <c r="BM63" s="42" t="str">
        <f t="shared" si="79"/>
        <v/>
      </c>
      <c r="BN63" s="42" t="str">
        <f t="shared" si="79"/>
        <v/>
      </c>
      <c r="BO63" s="42" t="str">
        <f t="shared" ref="BO63:BX72" si="80">IF($A63="","",IF($B63="Milestone",IF(AND(BO$1&lt;=$R63,BO$1+7&gt;$R63),"◆",""),IF(AND(BO$1&lt;$S63,BO$1+7&gt;$R63),IF($B63="Summary","=",IF($B63="Activity",IF($Z63=TRUE,"X","O"),"")),"")))</f>
        <v/>
      </c>
      <c r="BP63" s="42" t="str">
        <f t="shared" si="80"/>
        <v/>
      </c>
      <c r="BQ63" s="42" t="str">
        <f t="shared" si="80"/>
        <v/>
      </c>
      <c r="BR63" s="42" t="str">
        <f t="shared" si="80"/>
        <v/>
      </c>
      <c r="BS63" s="42" t="str">
        <f t="shared" si="80"/>
        <v/>
      </c>
      <c r="BT63" s="42" t="str">
        <f t="shared" si="80"/>
        <v/>
      </c>
      <c r="BU63" s="42" t="str">
        <f t="shared" si="80"/>
        <v/>
      </c>
      <c r="BV63" s="42" t="str">
        <f t="shared" si="80"/>
        <v/>
      </c>
      <c r="BW63" s="42" t="str">
        <f t="shared" si="80"/>
        <v/>
      </c>
      <c r="BX63" s="42" t="str">
        <f t="shared" si="80"/>
        <v/>
      </c>
      <c r="BY63" s="42" t="str">
        <f t="shared" ref="BY63:CK72" si="81">IF($A63="","",IF($B63="Milestone",IF(AND(BY$1&lt;=$R63,BY$1+7&gt;$R63),"◆",""),IF(AND(BY$1&lt;$S63,BY$1+7&gt;$R63),IF($B63="Summary","=",IF($B63="Activity",IF($Z63=TRUE,"X","O"),"")),"")))</f>
        <v/>
      </c>
      <c r="BZ63" s="42" t="str">
        <f t="shared" si="81"/>
        <v/>
      </c>
      <c r="CA63" s="42" t="str">
        <f t="shared" si="81"/>
        <v/>
      </c>
      <c r="CB63" s="42" t="str">
        <f t="shared" si="81"/>
        <v/>
      </c>
      <c r="CC63" s="42" t="str">
        <f t="shared" si="81"/>
        <v/>
      </c>
      <c r="CD63" s="42" t="str">
        <f t="shared" si="81"/>
        <v/>
      </c>
      <c r="CE63" s="42" t="str">
        <f t="shared" si="81"/>
        <v/>
      </c>
      <c r="CF63" s="42" t="str">
        <f t="shared" si="81"/>
        <v/>
      </c>
      <c r="CG63" s="42" t="str">
        <f t="shared" si="81"/>
        <v/>
      </c>
      <c r="CH63" s="42" t="str">
        <f t="shared" si="81"/>
        <v/>
      </c>
      <c r="CI63" s="42" t="str">
        <f t="shared" si="81"/>
        <v/>
      </c>
      <c r="CJ63" s="42" t="str">
        <f t="shared" si="81"/>
        <v/>
      </c>
      <c r="CK63" s="42" t="str">
        <f t="shared" si="81"/>
        <v/>
      </c>
    </row>
    <row r="64" spans="3:89" ht="18.75" customHeight="1" thickBot="1">
      <c r="C64" s="19"/>
      <c r="D64" s="9"/>
      <c r="E64" s="22"/>
      <c r="F64" s="20"/>
      <c r="G64" s="20"/>
      <c r="H64" s="20"/>
      <c r="I64" s="23"/>
      <c r="K64" s="24"/>
      <c r="L64" s="20"/>
      <c r="Q64" s="6"/>
      <c r="R64" s="11"/>
      <c r="S64" s="11"/>
      <c r="T64" s="17"/>
      <c r="U64" s="17"/>
      <c r="V64" s="17"/>
      <c r="W64" s="17"/>
      <c r="X64" s="17"/>
      <c r="Y64" s="17"/>
      <c r="Z64" s="33"/>
      <c r="AA64" s="40" t="str">
        <f t="shared" si="76"/>
        <v/>
      </c>
      <c r="AB64" s="41" t="str">
        <f t="shared" si="76"/>
        <v/>
      </c>
      <c r="AC64" s="41" t="str">
        <f t="shared" si="76"/>
        <v/>
      </c>
      <c r="AD64" s="42" t="str">
        <f t="shared" si="76"/>
        <v/>
      </c>
      <c r="AE64" s="40" t="str">
        <f t="shared" si="76"/>
        <v/>
      </c>
      <c r="AF64" s="41" t="str">
        <f t="shared" si="76"/>
        <v/>
      </c>
      <c r="AG64" s="41" t="str">
        <f t="shared" si="76"/>
        <v/>
      </c>
      <c r="AH64" s="42" t="str">
        <f t="shared" si="76"/>
        <v/>
      </c>
      <c r="AI64" s="40" t="str">
        <f t="shared" si="76"/>
        <v/>
      </c>
      <c r="AJ64" s="41" t="str">
        <f t="shared" si="76"/>
        <v/>
      </c>
      <c r="AK64" s="47" t="str">
        <f t="shared" si="77"/>
        <v/>
      </c>
      <c r="AL64" s="53" t="str">
        <f t="shared" si="77"/>
        <v/>
      </c>
      <c r="AM64" s="50" t="str">
        <f t="shared" si="77"/>
        <v/>
      </c>
      <c r="AN64" s="44" t="str">
        <f t="shared" si="77"/>
        <v/>
      </c>
      <c r="AO64" s="41" t="str">
        <f t="shared" si="77"/>
        <v/>
      </c>
      <c r="AP64" s="41" t="str">
        <f t="shared" si="77"/>
        <v/>
      </c>
      <c r="AQ64" s="42" t="str">
        <f t="shared" si="77"/>
        <v/>
      </c>
      <c r="AR64" s="40" t="str">
        <f t="shared" si="77"/>
        <v/>
      </c>
      <c r="AS64" s="41" t="str">
        <f t="shared" si="77"/>
        <v/>
      </c>
      <c r="AT64" s="41" t="str">
        <f t="shared" si="77"/>
        <v/>
      </c>
      <c r="AU64" s="42" t="str">
        <f t="shared" si="78"/>
        <v/>
      </c>
      <c r="AV64" s="40" t="str">
        <f t="shared" si="78"/>
        <v/>
      </c>
      <c r="AW64" s="41" t="str">
        <f t="shared" si="78"/>
        <v/>
      </c>
      <c r="AX64" s="41" t="str">
        <f t="shared" si="78"/>
        <v/>
      </c>
      <c r="AY64" s="41" t="str">
        <f t="shared" si="78"/>
        <v/>
      </c>
      <c r="AZ64" s="42" t="str">
        <f t="shared" si="78"/>
        <v/>
      </c>
      <c r="BA64" s="42" t="str">
        <f t="shared" si="78"/>
        <v/>
      </c>
      <c r="BB64" s="42" t="str">
        <f t="shared" si="78"/>
        <v/>
      </c>
      <c r="BC64" s="42" t="str">
        <f t="shared" si="78"/>
        <v/>
      </c>
      <c r="BD64" s="42" t="str">
        <f t="shared" si="78"/>
        <v/>
      </c>
      <c r="BE64" s="42" t="str">
        <f t="shared" si="79"/>
        <v/>
      </c>
      <c r="BF64" s="42" t="str">
        <f t="shared" si="79"/>
        <v/>
      </c>
      <c r="BG64" s="42" t="str">
        <f t="shared" si="79"/>
        <v/>
      </c>
      <c r="BH64" s="42" t="str">
        <f t="shared" si="79"/>
        <v/>
      </c>
      <c r="BI64" s="42" t="str">
        <f t="shared" si="79"/>
        <v/>
      </c>
      <c r="BJ64" s="42" t="str">
        <f t="shared" si="79"/>
        <v/>
      </c>
      <c r="BK64" s="42" t="str">
        <f t="shared" si="79"/>
        <v/>
      </c>
      <c r="BL64" s="42" t="str">
        <f t="shared" si="79"/>
        <v/>
      </c>
      <c r="BM64" s="42" t="str">
        <f t="shared" si="79"/>
        <v/>
      </c>
      <c r="BN64" s="42" t="str">
        <f t="shared" si="79"/>
        <v/>
      </c>
      <c r="BO64" s="42" t="str">
        <f t="shared" si="80"/>
        <v/>
      </c>
      <c r="BP64" s="42" t="str">
        <f t="shared" si="80"/>
        <v/>
      </c>
      <c r="BQ64" s="42" t="str">
        <f t="shared" si="80"/>
        <v/>
      </c>
      <c r="BR64" s="42" t="str">
        <f t="shared" si="80"/>
        <v/>
      </c>
      <c r="BS64" s="42" t="str">
        <f t="shared" si="80"/>
        <v/>
      </c>
      <c r="BT64" s="42" t="str">
        <f t="shared" si="80"/>
        <v/>
      </c>
      <c r="BU64" s="42" t="str">
        <f t="shared" si="80"/>
        <v/>
      </c>
      <c r="BV64" s="42" t="str">
        <f t="shared" si="80"/>
        <v/>
      </c>
      <c r="BW64" s="42" t="str">
        <f t="shared" si="80"/>
        <v/>
      </c>
      <c r="BX64" s="42" t="str">
        <f t="shared" si="80"/>
        <v/>
      </c>
      <c r="BY64" s="42" t="str">
        <f t="shared" si="81"/>
        <v/>
      </c>
      <c r="BZ64" s="42" t="str">
        <f t="shared" si="81"/>
        <v/>
      </c>
      <c r="CA64" s="42" t="str">
        <f t="shared" si="81"/>
        <v/>
      </c>
      <c r="CB64" s="42" t="str">
        <f t="shared" si="81"/>
        <v/>
      </c>
      <c r="CC64" s="42" t="str">
        <f t="shared" si="81"/>
        <v/>
      </c>
      <c r="CD64" s="42" t="str">
        <f t="shared" si="81"/>
        <v/>
      </c>
      <c r="CE64" s="42" t="str">
        <f t="shared" si="81"/>
        <v/>
      </c>
      <c r="CF64" s="42" t="str">
        <f t="shared" si="81"/>
        <v/>
      </c>
      <c r="CG64" s="42" t="str">
        <f t="shared" si="81"/>
        <v/>
      </c>
      <c r="CH64" s="42" t="str">
        <f t="shared" si="81"/>
        <v/>
      </c>
      <c r="CI64" s="42" t="str">
        <f t="shared" si="81"/>
        <v/>
      </c>
      <c r="CJ64" s="42" t="str">
        <f t="shared" si="81"/>
        <v/>
      </c>
      <c r="CK64" s="42" t="str">
        <f t="shared" si="81"/>
        <v/>
      </c>
    </row>
    <row r="65" spans="3:89" ht="18.75" customHeight="1" thickBot="1">
      <c r="C65" s="19"/>
      <c r="D65" s="9"/>
      <c r="E65" s="22"/>
      <c r="F65" s="20"/>
      <c r="G65" s="20"/>
      <c r="H65" s="20"/>
      <c r="I65" s="23"/>
      <c r="K65" s="24"/>
      <c r="L65" s="20"/>
      <c r="Q65" s="6"/>
      <c r="R65" s="11"/>
      <c r="S65" s="11"/>
      <c r="T65" s="17"/>
      <c r="U65" s="17"/>
      <c r="V65" s="17"/>
      <c r="W65" s="17"/>
      <c r="X65" s="17"/>
      <c r="Y65" s="17"/>
      <c r="Z65" s="33"/>
      <c r="AA65" s="40" t="str">
        <f t="shared" si="76"/>
        <v/>
      </c>
      <c r="AB65" s="41" t="str">
        <f t="shared" si="76"/>
        <v/>
      </c>
      <c r="AC65" s="41" t="str">
        <f t="shared" si="76"/>
        <v/>
      </c>
      <c r="AD65" s="42" t="str">
        <f t="shared" si="76"/>
        <v/>
      </c>
      <c r="AE65" s="40" t="str">
        <f t="shared" si="76"/>
        <v/>
      </c>
      <c r="AF65" s="41" t="str">
        <f t="shared" si="76"/>
        <v/>
      </c>
      <c r="AG65" s="41" t="str">
        <f t="shared" si="76"/>
        <v/>
      </c>
      <c r="AH65" s="42" t="str">
        <f t="shared" si="76"/>
        <v/>
      </c>
      <c r="AI65" s="40" t="str">
        <f t="shared" si="76"/>
        <v/>
      </c>
      <c r="AJ65" s="41" t="str">
        <f t="shared" si="76"/>
        <v/>
      </c>
      <c r="AK65" s="47" t="str">
        <f t="shared" si="77"/>
        <v/>
      </c>
      <c r="AL65" s="53" t="str">
        <f t="shared" si="77"/>
        <v/>
      </c>
      <c r="AM65" s="50" t="str">
        <f t="shared" si="77"/>
        <v/>
      </c>
      <c r="AN65" s="44" t="str">
        <f t="shared" si="77"/>
        <v/>
      </c>
      <c r="AO65" s="41" t="str">
        <f t="shared" si="77"/>
        <v/>
      </c>
      <c r="AP65" s="41" t="str">
        <f t="shared" si="77"/>
        <v/>
      </c>
      <c r="AQ65" s="42" t="str">
        <f t="shared" si="77"/>
        <v/>
      </c>
      <c r="AR65" s="40" t="str">
        <f t="shared" si="77"/>
        <v/>
      </c>
      <c r="AS65" s="41" t="str">
        <f t="shared" si="77"/>
        <v/>
      </c>
      <c r="AT65" s="41" t="str">
        <f t="shared" si="77"/>
        <v/>
      </c>
      <c r="AU65" s="42" t="str">
        <f t="shared" si="78"/>
        <v/>
      </c>
      <c r="AV65" s="40" t="str">
        <f t="shared" si="78"/>
        <v/>
      </c>
      <c r="AW65" s="41" t="str">
        <f t="shared" si="78"/>
        <v/>
      </c>
      <c r="AX65" s="41" t="str">
        <f t="shared" si="78"/>
        <v/>
      </c>
      <c r="AY65" s="41" t="str">
        <f t="shared" si="78"/>
        <v/>
      </c>
      <c r="AZ65" s="42" t="str">
        <f t="shared" si="78"/>
        <v/>
      </c>
      <c r="BA65" s="42" t="str">
        <f t="shared" si="78"/>
        <v/>
      </c>
      <c r="BB65" s="42" t="str">
        <f t="shared" si="78"/>
        <v/>
      </c>
      <c r="BC65" s="42" t="str">
        <f t="shared" si="78"/>
        <v/>
      </c>
      <c r="BD65" s="42" t="str">
        <f t="shared" si="78"/>
        <v/>
      </c>
      <c r="BE65" s="42" t="str">
        <f t="shared" si="79"/>
        <v/>
      </c>
      <c r="BF65" s="42" t="str">
        <f t="shared" si="79"/>
        <v/>
      </c>
      <c r="BG65" s="42" t="str">
        <f t="shared" si="79"/>
        <v/>
      </c>
      <c r="BH65" s="42" t="str">
        <f t="shared" si="79"/>
        <v/>
      </c>
      <c r="BI65" s="42" t="str">
        <f t="shared" si="79"/>
        <v/>
      </c>
      <c r="BJ65" s="42" t="str">
        <f t="shared" si="79"/>
        <v/>
      </c>
      <c r="BK65" s="42" t="str">
        <f t="shared" si="79"/>
        <v/>
      </c>
      <c r="BL65" s="42" t="str">
        <f t="shared" si="79"/>
        <v/>
      </c>
      <c r="BM65" s="42" t="str">
        <f t="shared" si="79"/>
        <v/>
      </c>
      <c r="BN65" s="42" t="str">
        <f t="shared" si="79"/>
        <v/>
      </c>
      <c r="BO65" s="42" t="str">
        <f t="shared" si="80"/>
        <v/>
      </c>
      <c r="BP65" s="42" t="str">
        <f t="shared" si="80"/>
        <v/>
      </c>
      <c r="BQ65" s="42" t="str">
        <f t="shared" si="80"/>
        <v/>
      </c>
      <c r="BR65" s="42" t="str">
        <f t="shared" si="80"/>
        <v/>
      </c>
      <c r="BS65" s="42" t="str">
        <f t="shared" si="80"/>
        <v/>
      </c>
      <c r="BT65" s="42" t="str">
        <f t="shared" si="80"/>
        <v/>
      </c>
      <c r="BU65" s="42" t="str">
        <f t="shared" si="80"/>
        <v/>
      </c>
      <c r="BV65" s="42" t="str">
        <f t="shared" si="80"/>
        <v/>
      </c>
      <c r="BW65" s="42" t="str">
        <f t="shared" si="80"/>
        <v/>
      </c>
      <c r="BX65" s="42" t="str">
        <f t="shared" si="80"/>
        <v/>
      </c>
      <c r="BY65" s="42" t="str">
        <f t="shared" si="81"/>
        <v/>
      </c>
      <c r="BZ65" s="42" t="str">
        <f t="shared" si="81"/>
        <v/>
      </c>
      <c r="CA65" s="42" t="str">
        <f t="shared" si="81"/>
        <v/>
      </c>
      <c r="CB65" s="42" t="str">
        <f t="shared" si="81"/>
        <v/>
      </c>
      <c r="CC65" s="42" t="str">
        <f t="shared" si="81"/>
        <v/>
      </c>
      <c r="CD65" s="42" t="str">
        <f t="shared" si="81"/>
        <v/>
      </c>
      <c r="CE65" s="42" t="str">
        <f t="shared" si="81"/>
        <v/>
      </c>
      <c r="CF65" s="42" t="str">
        <f t="shared" si="81"/>
        <v/>
      </c>
      <c r="CG65" s="42" t="str">
        <f t="shared" si="81"/>
        <v/>
      </c>
      <c r="CH65" s="42" t="str">
        <f t="shared" si="81"/>
        <v/>
      </c>
      <c r="CI65" s="42" t="str">
        <f t="shared" si="81"/>
        <v/>
      </c>
      <c r="CJ65" s="42" t="str">
        <f t="shared" si="81"/>
        <v/>
      </c>
      <c r="CK65" s="42" t="str">
        <f t="shared" si="81"/>
        <v/>
      </c>
    </row>
    <row r="66" spans="3:89" ht="18.75" customHeight="1" thickBot="1">
      <c r="C66" s="19"/>
      <c r="D66" s="9"/>
      <c r="E66" s="22"/>
      <c r="F66" s="20"/>
      <c r="G66" s="20"/>
      <c r="H66" s="20"/>
      <c r="I66" s="23"/>
      <c r="K66" s="24"/>
      <c r="L66" s="20"/>
      <c r="Q66" s="6"/>
      <c r="R66" s="11"/>
      <c r="S66" s="11"/>
      <c r="T66" s="17"/>
      <c r="U66" s="17"/>
      <c r="V66" s="17"/>
      <c r="W66" s="17"/>
      <c r="X66" s="17"/>
      <c r="Y66" s="17"/>
      <c r="Z66" s="33"/>
      <c r="AA66" s="40" t="str">
        <f t="shared" si="76"/>
        <v/>
      </c>
      <c r="AB66" s="41" t="str">
        <f t="shared" si="76"/>
        <v/>
      </c>
      <c r="AC66" s="41" t="str">
        <f t="shared" si="76"/>
        <v/>
      </c>
      <c r="AD66" s="42" t="str">
        <f t="shared" si="76"/>
        <v/>
      </c>
      <c r="AE66" s="40" t="str">
        <f t="shared" si="76"/>
        <v/>
      </c>
      <c r="AF66" s="41" t="str">
        <f t="shared" si="76"/>
        <v/>
      </c>
      <c r="AG66" s="41" t="str">
        <f t="shared" si="76"/>
        <v/>
      </c>
      <c r="AH66" s="42" t="str">
        <f t="shared" si="76"/>
        <v/>
      </c>
      <c r="AI66" s="40" t="str">
        <f t="shared" si="76"/>
        <v/>
      </c>
      <c r="AJ66" s="41" t="str">
        <f t="shared" si="76"/>
        <v/>
      </c>
      <c r="AK66" s="47" t="str">
        <f t="shared" si="77"/>
        <v/>
      </c>
      <c r="AL66" s="53" t="str">
        <f t="shared" si="77"/>
        <v/>
      </c>
      <c r="AM66" s="50" t="str">
        <f t="shared" si="77"/>
        <v/>
      </c>
      <c r="AN66" s="44" t="str">
        <f t="shared" si="77"/>
        <v/>
      </c>
      <c r="AO66" s="41" t="str">
        <f t="shared" si="77"/>
        <v/>
      </c>
      <c r="AP66" s="41" t="str">
        <f t="shared" si="77"/>
        <v/>
      </c>
      <c r="AQ66" s="42" t="str">
        <f t="shared" si="77"/>
        <v/>
      </c>
      <c r="AR66" s="40" t="str">
        <f t="shared" si="77"/>
        <v/>
      </c>
      <c r="AS66" s="41" t="str">
        <f t="shared" si="77"/>
        <v/>
      </c>
      <c r="AT66" s="41" t="str">
        <f t="shared" si="77"/>
        <v/>
      </c>
      <c r="AU66" s="42" t="str">
        <f t="shared" si="78"/>
        <v/>
      </c>
      <c r="AV66" s="40" t="str">
        <f t="shared" si="78"/>
        <v/>
      </c>
      <c r="AW66" s="41" t="str">
        <f t="shared" si="78"/>
        <v/>
      </c>
      <c r="AX66" s="41" t="str">
        <f t="shared" si="78"/>
        <v/>
      </c>
      <c r="AY66" s="41" t="str">
        <f t="shared" si="78"/>
        <v/>
      </c>
      <c r="AZ66" s="42" t="str">
        <f t="shared" si="78"/>
        <v/>
      </c>
      <c r="BA66" s="42" t="str">
        <f t="shared" si="78"/>
        <v/>
      </c>
      <c r="BB66" s="42" t="str">
        <f t="shared" si="78"/>
        <v/>
      </c>
      <c r="BC66" s="42" t="str">
        <f t="shared" si="78"/>
        <v/>
      </c>
      <c r="BD66" s="42" t="str">
        <f t="shared" si="78"/>
        <v/>
      </c>
      <c r="BE66" s="42" t="str">
        <f t="shared" si="79"/>
        <v/>
      </c>
      <c r="BF66" s="42" t="str">
        <f t="shared" si="79"/>
        <v/>
      </c>
      <c r="BG66" s="42" t="str">
        <f t="shared" si="79"/>
        <v/>
      </c>
      <c r="BH66" s="42" t="str">
        <f t="shared" si="79"/>
        <v/>
      </c>
      <c r="BI66" s="42" t="str">
        <f t="shared" si="79"/>
        <v/>
      </c>
      <c r="BJ66" s="42" t="str">
        <f t="shared" si="79"/>
        <v/>
      </c>
      <c r="BK66" s="42" t="str">
        <f t="shared" si="79"/>
        <v/>
      </c>
      <c r="BL66" s="42" t="str">
        <f t="shared" si="79"/>
        <v/>
      </c>
      <c r="BM66" s="42" t="str">
        <f t="shared" si="79"/>
        <v/>
      </c>
      <c r="BN66" s="42" t="str">
        <f t="shared" si="79"/>
        <v/>
      </c>
      <c r="BO66" s="42" t="str">
        <f t="shared" si="80"/>
        <v/>
      </c>
      <c r="BP66" s="42" t="str">
        <f t="shared" si="80"/>
        <v/>
      </c>
      <c r="BQ66" s="42" t="str">
        <f t="shared" si="80"/>
        <v/>
      </c>
      <c r="BR66" s="42" t="str">
        <f t="shared" si="80"/>
        <v/>
      </c>
      <c r="BS66" s="42" t="str">
        <f t="shared" si="80"/>
        <v/>
      </c>
      <c r="BT66" s="42" t="str">
        <f t="shared" si="80"/>
        <v/>
      </c>
      <c r="BU66" s="42" t="str">
        <f t="shared" si="80"/>
        <v/>
      </c>
      <c r="BV66" s="42" t="str">
        <f t="shared" si="80"/>
        <v/>
      </c>
      <c r="BW66" s="42" t="str">
        <f t="shared" si="80"/>
        <v/>
      </c>
      <c r="BX66" s="42" t="str">
        <f t="shared" si="80"/>
        <v/>
      </c>
      <c r="BY66" s="42" t="str">
        <f t="shared" si="81"/>
        <v/>
      </c>
      <c r="BZ66" s="42" t="str">
        <f t="shared" si="81"/>
        <v/>
      </c>
      <c r="CA66" s="42" t="str">
        <f t="shared" si="81"/>
        <v/>
      </c>
      <c r="CB66" s="42" t="str">
        <f t="shared" si="81"/>
        <v/>
      </c>
      <c r="CC66" s="42" t="str">
        <f t="shared" si="81"/>
        <v/>
      </c>
      <c r="CD66" s="42" t="str">
        <f t="shared" si="81"/>
        <v/>
      </c>
      <c r="CE66" s="42" t="str">
        <f t="shared" si="81"/>
        <v/>
      </c>
      <c r="CF66" s="42" t="str">
        <f t="shared" si="81"/>
        <v/>
      </c>
      <c r="CG66" s="42" t="str">
        <f t="shared" si="81"/>
        <v/>
      </c>
      <c r="CH66" s="42" t="str">
        <f t="shared" si="81"/>
        <v/>
      </c>
      <c r="CI66" s="42" t="str">
        <f t="shared" si="81"/>
        <v/>
      </c>
      <c r="CJ66" s="42" t="str">
        <f t="shared" si="81"/>
        <v/>
      </c>
      <c r="CK66" s="42" t="str">
        <f t="shared" si="81"/>
        <v/>
      </c>
    </row>
    <row r="67" spans="3:89" ht="18.75" customHeight="1" thickBot="1">
      <c r="C67" s="19"/>
      <c r="D67" s="9"/>
      <c r="E67" s="22"/>
      <c r="F67" s="20"/>
      <c r="G67" s="20"/>
      <c r="H67" s="20"/>
      <c r="I67" s="23"/>
      <c r="K67" s="24"/>
      <c r="L67" s="20"/>
      <c r="Q67" s="6"/>
      <c r="R67" s="11"/>
      <c r="S67" s="11"/>
      <c r="T67" s="17"/>
      <c r="U67" s="17"/>
      <c r="V67" s="17"/>
      <c r="W67" s="17"/>
      <c r="X67" s="17"/>
      <c r="Y67" s="17"/>
      <c r="Z67" s="33"/>
      <c r="AA67" s="40" t="str">
        <f t="shared" si="76"/>
        <v/>
      </c>
      <c r="AB67" s="41" t="str">
        <f t="shared" si="76"/>
        <v/>
      </c>
      <c r="AC67" s="41" t="str">
        <f t="shared" si="76"/>
        <v/>
      </c>
      <c r="AD67" s="42" t="str">
        <f t="shared" si="76"/>
        <v/>
      </c>
      <c r="AE67" s="40" t="str">
        <f t="shared" si="76"/>
        <v/>
      </c>
      <c r="AF67" s="41" t="str">
        <f t="shared" si="76"/>
        <v/>
      </c>
      <c r="AG67" s="41" t="str">
        <f t="shared" si="76"/>
        <v/>
      </c>
      <c r="AH67" s="42" t="str">
        <f t="shared" si="76"/>
        <v/>
      </c>
      <c r="AI67" s="40" t="str">
        <f t="shared" si="76"/>
        <v/>
      </c>
      <c r="AJ67" s="41" t="str">
        <f t="shared" si="76"/>
        <v/>
      </c>
      <c r="AK67" s="47" t="str">
        <f t="shared" si="77"/>
        <v/>
      </c>
      <c r="AL67" s="53" t="str">
        <f t="shared" si="77"/>
        <v/>
      </c>
      <c r="AM67" s="50" t="str">
        <f t="shared" si="77"/>
        <v/>
      </c>
      <c r="AN67" s="44" t="str">
        <f t="shared" si="77"/>
        <v/>
      </c>
      <c r="AO67" s="41" t="str">
        <f t="shared" si="77"/>
        <v/>
      </c>
      <c r="AP67" s="41" t="str">
        <f t="shared" si="77"/>
        <v/>
      </c>
      <c r="AQ67" s="42" t="str">
        <f t="shared" si="77"/>
        <v/>
      </c>
      <c r="AR67" s="40" t="str">
        <f t="shared" si="77"/>
        <v/>
      </c>
      <c r="AS67" s="41" t="str">
        <f t="shared" si="77"/>
        <v/>
      </c>
      <c r="AT67" s="41" t="str">
        <f t="shared" si="77"/>
        <v/>
      </c>
      <c r="AU67" s="42" t="str">
        <f t="shared" si="78"/>
        <v/>
      </c>
      <c r="AV67" s="40" t="str">
        <f t="shared" si="78"/>
        <v/>
      </c>
      <c r="AW67" s="41" t="str">
        <f t="shared" si="78"/>
        <v/>
      </c>
      <c r="AX67" s="41" t="str">
        <f t="shared" si="78"/>
        <v/>
      </c>
      <c r="AY67" s="41" t="str">
        <f t="shared" si="78"/>
        <v/>
      </c>
      <c r="AZ67" s="42" t="str">
        <f t="shared" si="78"/>
        <v/>
      </c>
      <c r="BA67" s="42" t="str">
        <f t="shared" si="78"/>
        <v/>
      </c>
      <c r="BB67" s="42" t="str">
        <f t="shared" si="78"/>
        <v/>
      </c>
      <c r="BC67" s="42" t="str">
        <f t="shared" si="78"/>
        <v/>
      </c>
      <c r="BD67" s="42" t="str">
        <f t="shared" si="78"/>
        <v/>
      </c>
      <c r="BE67" s="42" t="str">
        <f t="shared" si="79"/>
        <v/>
      </c>
      <c r="BF67" s="42" t="str">
        <f t="shared" si="79"/>
        <v/>
      </c>
      <c r="BG67" s="42" t="str">
        <f t="shared" si="79"/>
        <v/>
      </c>
      <c r="BH67" s="42" t="str">
        <f t="shared" si="79"/>
        <v/>
      </c>
      <c r="BI67" s="42" t="str">
        <f t="shared" si="79"/>
        <v/>
      </c>
      <c r="BJ67" s="42" t="str">
        <f t="shared" si="79"/>
        <v/>
      </c>
      <c r="BK67" s="42" t="str">
        <f t="shared" si="79"/>
        <v/>
      </c>
      <c r="BL67" s="42" t="str">
        <f t="shared" si="79"/>
        <v/>
      </c>
      <c r="BM67" s="42" t="str">
        <f t="shared" si="79"/>
        <v/>
      </c>
      <c r="BN67" s="42" t="str">
        <f t="shared" si="79"/>
        <v/>
      </c>
      <c r="BO67" s="42" t="str">
        <f t="shared" si="80"/>
        <v/>
      </c>
      <c r="BP67" s="42" t="str">
        <f t="shared" si="80"/>
        <v/>
      </c>
      <c r="BQ67" s="42" t="str">
        <f t="shared" si="80"/>
        <v/>
      </c>
      <c r="BR67" s="42" t="str">
        <f t="shared" si="80"/>
        <v/>
      </c>
      <c r="BS67" s="42" t="str">
        <f t="shared" si="80"/>
        <v/>
      </c>
      <c r="BT67" s="42" t="str">
        <f t="shared" si="80"/>
        <v/>
      </c>
      <c r="BU67" s="42" t="str">
        <f t="shared" si="80"/>
        <v/>
      </c>
      <c r="BV67" s="42" t="str">
        <f t="shared" si="80"/>
        <v/>
      </c>
      <c r="BW67" s="42" t="str">
        <f t="shared" si="80"/>
        <v/>
      </c>
      <c r="BX67" s="42" t="str">
        <f t="shared" si="80"/>
        <v/>
      </c>
      <c r="BY67" s="42" t="str">
        <f t="shared" si="81"/>
        <v/>
      </c>
      <c r="BZ67" s="42" t="str">
        <f t="shared" si="81"/>
        <v/>
      </c>
      <c r="CA67" s="42" t="str">
        <f t="shared" si="81"/>
        <v/>
      </c>
      <c r="CB67" s="42" t="str">
        <f t="shared" si="81"/>
        <v/>
      </c>
      <c r="CC67" s="42" t="str">
        <f t="shared" si="81"/>
        <v/>
      </c>
      <c r="CD67" s="42" t="str">
        <f t="shared" si="81"/>
        <v/>
      </c>
      <c r="CE67" s="42" t="str">
        <f t="shared" si="81"/>
        <v/>
      </c>
      <c r="CF67" s="42" t="str">
        <f t="shared" si="81"/>
        <v/>
      </c>
      <c r="CG67" s="42" t="str">
        <f t="shared" si="81"/>
        <v/>
      </c>
      <c r="CH67" s="42" t="str">
        <f t="shared" si="81"/>
        <v/>
      </c>
      <c r="CI67" s="42" t="str">
        <f t="shared" si="81"/>
        <v/>
      </c>
      <c r="CJ67" s="42" t="str">
        <f t="shared" si="81"/>
        <v/>
      </c>
      <c r="CK67" s="42" t="str">
        <f t="shared" si="81"/>
        <v/>
      </c>
    </row>
    <row r="68" spans="3:89" ht="18.75" customHeight="1" thickBot="1">
      <c r="C68" s="19"/>
      <c r="D68" s="9"/>
      <c r="E68" s="22"/>
      <c r="F68" s="20"/>
      <c r="G68" s="20"/>
      <c r="H68" s="20"/>
      <c r="I68" s="23"/>
      <c r="K68" s="24"/>
      <c r="L68" s="20"/>
      <c r="Q68" s="6"/>
      <c r="R68" s="11"/>
      <c r="S68" s="11"/>
      <c r="T68" s="17"/>
      <c r="U68" s="17"/>
      <c r="V68" s="17"/>
      <c r="W68" s="17"/>
      <c r="X68" s="17"/>
      <c r="Y68" s="17"/>
      <c r="Z68" s="33"/>
      <c r="AA68" s="40" t="str">
        <f t="shared" si="76"/>
        <v/>
      </c>
      <c r="AB68" s="41" t="str">
        <f t="shared" si="76"/>
        <v/>
      </c>
      <c r="AC68" s="41" t="str">
        <f t="shared" si="76"/>
        <v/>
      </c>
      <c r="AD68" s="42" t="str">
        <f t="shared" si="76"/>
        <v/>
      </c>
      <c r="AE68" s="40" t="str">
        <f t="shared" si="76"/>
        <v/>
      </c>
      <c r="AF68" s="41" t="str">
        <f t="shared" si="76"/>
        <v/>
      </c>
      <c r="AG68" s="41" t="str">
        <f t="shared" si="76"/>
        <v/>
      </c>
      <c r="AH68" s="42" t="str">
        <f t="shared" si="76"/>
        <v/>
      </c>
      <c r="AI68" s="40" t="str">
        <f t="shared" si="76"/>
        <v/>
      </c>
      <c r="AJ68" s="41" t="str">
        <f t="shared" si="76"/>
        <v/>
      </c>
      <c r="AK68" s="47" t="str">
        <f t="shared" si="77"/>
        <v/>
      </c>
      <c r="AL68" s="53" t="str">
        <f t="shared" si="77"/>
        <v/>
      </c>
      <c r="AM68" s="50" t="str">
        <f t="shared" si="77"/>
        <v/>
      </c>
      <c r="AN68" s="44" t="str">
        <f t="shared" si="77"/>
        <v/>
      </c>
      <c r="AO68" s="41" t="str">
        <f t="shared" si="77"/>
        <v/>
      </c>
      <c r="AP68" s="41" t="str">
        <f t="shared" si="77"/>
        <v/>
      </c>
      <c r="AQ68" s="42" t="str">
        <f t="shared" si="77"/>
        <v/>
      </c>
      <c r="AR68" s="40" t="str">
        <f t="shared" si="77"/>
        <v/>
      </c>
      <c r="AS68" s="41" t="str">
        <f t="shared" si="77"/>
        <v/>
      </c>
      <c r="AT68" s="41" t="str">
        <f t="shared" si="77"/>
        <v/>
      </c>
      <c r="AU68" s="42" t="str">
        <f t="shared" si="78"/>
        <v/>
      </c>
      <c r="AV68" s="40" t="str">
        <f t="shared" si="78"/>
        <v/>
      </c>
      <c r="AW68" s="41" t="str">
        <f t="shared" si="78"/>
        <v/>
      </c>
      <c r="AX68" s="41" t="str">
        <f t="shared" si="78"/>
        <v/>
      </c>
      <c r="AY68" s="41" t="str">
        <f t="shared" si="78"/>
        <v/>
      </c>
      <c r="AZ68" s="42" t="str">
        <f t="shared" si="78"/>
        <v/>
      </c>
      <c r="BA68" s="42" t="str">
        <f t="shared" si="78"/>
        <v/>
      </c>
      <c r="BB68" s="42" t="str">
        <f t="shared" si="78"/>
        <v/>
      </c>
      <c r="BC68" s="42" t="str">
        <f t="shared" si="78"/>
        <v/>
      </c>
      <c r="BD68" s="42" t="str">
        <f t="shared" si="78"/>
        <v/>
      </c>
      <c r="BE68" s="42" t="str">
        <f t="shared" si="79"/>
        <v/>
      </c>
      <c r="BF68" s="42" t="str">
        <f t="shared" si="79"/>
        <v/>
      </c>
      <c r="BG68" s="42" t="str">
        <f t="shared" si="79"/>
        <v/>
      </c>
      <c r="BH68" s="42" t="str">
        <f t="shared" si="79"/>
        <v/>
      </c>
      <c r="BI68" s="42" t="str">
        <f t="shared" si="79"/>
        <v/>
      </c>
      <c r="BJ68" s="42" t="str">
        <f t="shared" si="79"/>
        <v/>
      </c>
      <c r="BK68" s="42" t="str">
        <f t="shared" si="79"/>
        <v/>
      </c>
      <c r="BL68" s="42" t="str">
        <f t="shared" si="79"/>
        <v/>
      </c>
      <c r="BM68" s="42" t="str">
        <f t="shared" si="79"/>
        <v/>
      </c>
      <c r="BN68" s="42" t="str">
        <f t="shared" si="79"/>
        <v/>
      </c>
      <c r="BO68" s="42" t="str">
        <f t="shared" si="80"/>
        <v/>
      </c>
      <c r="BP68" s="42" t="str">
        <f t="shared" si="80"/>
        <v/>
      </c>
      <c r="BQ68" s="42" t="str">
        <f t="shared" si="80"/>
        <v/>
      </c>
      <c r="BR68" s="42" t="str">
        <f t="shared" si="80"/>
        <v/>
      </c>
      <c r="BS68" s="42" t="str">
        <f t="shared" si="80"/>
        <v/>
      </c>
      <c r="BT68" s="42" t="str">
        <f t="shared" si="80"/>
        <v/>
      </c>
      <c r="BU68" s="42" t="str">
        <f t="shared" si="80"/>
        <v/>
      </c>
      <c r="BV68" s="42" t="str">
        <f t="shared" si="80"/>
        <v/>
      </c>
      <c r="BW68" s="42" t="str">
        <f t="shared" si="80"/>
        <v/>
      </c>
      <c r="BX68" s="42" t="str">
        <f t="shared" si="80"/>
        <v/>
      </c>
      <c r="BY68" s="42" t="str">
        <f t="shared" si="81"/>
        <v/>
      </c>
      <c r="BZ68" s="42" t="str">
        <f t="shared" si="81"/>
        <v/>
      </c>
      <c r="CA68" s="42" t="str">
        <f t="shared" si="81"/>
        <v/>
      </c>
      <c r="CB68" s="42" t="str">
        <f t="shared" si="81"/>
        <v/>
      </c>
      <c r="CC68" s="42" t="str">
        <f t="shared" si="81"/>
        <v/>
      </c>
      <c r="CD68" s="42" t="str">
        <f t="shared" si="81"/>
        <v/>
      </c>
      <c r="CE68" s="42" t="str">
        <f t="shared" si="81"/>
        <v/>
      </c>
      <c r="CF68" s="42" t="str">
        <f t="shared" si="81"/>
        <v/>
      </c>
      <c r="CG68" s="42" t="str">
        <f t="shared" si="81"/>
        <v/>
      </c>
      <c r="CH68" s="42" t="str">
        <f t="shared" si="81"/>
        <v/>
      </c>
      <c r="CI68" s="42" t="str">
        <f t="shared" si="81"/>
        <v/>
      </c>
      <c r="CJ68" s="42" t="str">
        <f t="shared" si="81"/>
        <v/>
      </c>
      <c r="CK68" s="42" t="str">
        <f t="shared" si="81"/>
        <v/>
      </c>
    </row>
    <row r="69" spans="3:89" ht="18.75" customHeight="1" thickBot="1">
      <c r="C69" s="19"/>
      <c r="D69" s="9"/>
      <c r="E69" s="22"/>
      <c r="F69" s="20"/>
      <c r="G69" s="20"/>
      <c r="H69" s="20"/>
      <c r="I69" s="23"/>
      <c r="K69" s="24"/>
      <c r="L69" s="20"/>
      <c r="Q69" s="6"/>
      <c r="R69" s="11"/>
      <c r="S69" s="11"/>
      <c r="T69" s="17"/>
      <c r="U69" s="17"/>
      <c r="V69" s="17"/>
      <c r="W69" s="17"/>
      <c r="X69" s="17"/>
      <c r="Y69" s="17"/>
      <c r="Z69" s="33"/>
      <c r="AA69" s="40" t="str">
        <f t="shared" si="76"/>
        <v/>
      </c>
      <c r="AB69" s="41" t="str">
        <f t="shared" si="76"/>
        <v/>
      </c>
      <c r="AC69" s="41" t="str">
        <f t="shared" si="76"/>
        <v/>
      </c>
      <c r="AD69" s="42" t="str">
        <f t="shared" si="76"/>
        <v/>
      </c>
      <c r="AE69" s="40" t="str">
        <f t="shared" si="76"/>
        <v/>
      </c>
      <c r="AF69" s="41" t="str">
        <f t="shared" si="76"/>
        <v/>
      </c>
      <c r="AG69" s="41" t="str">
        <f t="shared" si="76"/>
        <v/>
      </c>
      <c r="AH69" s="42" t="str">
        <f t="shared" si="76"/>
        <v/>
      </c>
      <c r="AI69" s="40" t="str">
        <f t="shared" si="76"/>
        <v/>
      </c>
      <c r="AJ69" s="41" t="str">
        <f t="shared" si="76"/>
        <v/>
      </c>
      <c r="AK69" s="47" t="str">
        <f t="shared" si="77"/>
        <v/>
      </c>
      <c r="AL69" s="53" t="str">
        <f t="shared" si="77"/>
        <v/>
      </c>
      <c r="AM69" s="50" t="str">
        <f t="shared" si="77"/>
        <v/>
      </c>
      <c r="AN69" s="44" t="str">
        <f t="shared" si="77"/>
        <v/>
      </c>
      <c r="AO69" s="41" t="str">
        <f t="shared" si="77"/>
        <v/>
      </c>
      <c r="AP69" s="41" t="str">
        <f t="shared" si="77"/>
        <v/>
      </c>
      <c r="AQ69" s="42" t="str">
        <f t="shared" si="77"/>
        <v/>
      </c>
      <c r="AR69" s="40" t="str">
        <f t="shared" si="77"/>
        <v/>
      </c>
      <c r="AS69" s="41" t="str">
        <f t="shared" si="77"/>
        <v/>
      </c>
      <c r="AT69" s="41" t="str">
        <f t="shared" si="77"/>
        <v/>
      </c>
      <c r="AU69" s="42" t="str">
        <f t="shared" si="78"/>
        <v/>
      </c>
      <c r="AV69" s="40" t="str">
        <f t="shared" si="78"/>
        <v/>
      </c>
      <c r="AW69" s="41" t="str">
        <f t="shared" si="78"/>
        <v/>
      </c>
      <c r="AX69" s="41" t="str">
        <f t="shared" si="78"/>
        <v/>
      </c>
      <c r="AY69" s="41" t="str">
        <f t="shared" si="78"/>
        <v/>
      </c>
      <c r="AZ69" s="42" t="str">
        <f t="shared" si="78"/>
        <v/>
      </c>
      <c r="BA69" s="42" t="str">
        <f t="shared" si="78"/>
        <v/>
      </c>
      <c r="BB69" s="42" t="str">
        <f t="shared" si="78"/>
        <v/>
      </c>
      <c r="BC69" s="42" t="str">
        <f t="shared" si="78"/>
        <v/>
      </c>
      <c r="BD69" s="42" t="str">
        <f t="shared" si="78"/>
        <v/>
      </c>
      <c r="BE69" s="42" t="str">
        <f t="shared" si="79"/>
        <v/>
      </c>
      <c r="BF69" s="42" t="str">
        <f t="shared" si="79"/>
        <v/>
      </c>
      <c r="BG69" s="42" t="str">
        <f t="shared" si="79"/>
        <v/>
      </c>
      <c r="BH69" s="42" t="str">
        <f t="shared" si="79"/>
        <v/>
      </c>
      <c r="BI69" s="42" t="str">
        <f t="shared" si="79"/>
        <v/>
      </c>
      <c r="BJ69" s="42" t="str">
        <f t="shared" si="79"/>
        <v/>
      </c>
      <c r="BK69" s="42" t="str">
        <f t="shared" si="79"/>
        <v/>
      </c>
      <c r="BL69" s="42" t="str">
        <f t="shared" si="79"/>
        <v/>
      </c>
      <c r="BM69" s="42" t="str">
        <f t="shared" si="79"/>
        <v/>
      </c>
      <c r="BN69" s="42" t="str">
        <f t="shared" si="79"/>
        <v/>
      </c>
      <c r="BO69" s="42" t="str">
        <f t="shared" si="80"/>
        <v/>
      </c>
      <c r="BP69" s="42" t="str">
        <f t="shared" si="80"/>
        <v/>
      </c>
      <c r="BQ69" s="42" t="str">
        <f t="shared" si="80"/>
        <v/>
      </c>
      <c r="BR69" s="42" t="str">
        <f t="shared" si="80"/>
        <v/>
      </c>
      <c r="BS69" s="42" t="str">
        <f t="shared" si="80"/>
        <v/>
      </c>
      <c r="BT69" s="42" t="str">
        <f t="shared" si="80"/>
        <v/>
      </c>
      <c r="BU69" s="42" t="str">
        <f t="shared" si="80"/>
        <v/>
      </c>
      <c r="BV69" s="42" t="str">
        <f t="shared" si="80"/>
        <v/>
      </c>
      <c r="BW69" s="42" t="str">
        <f t="shared" si="80"/>
        <v/>
      </c>
      <c r="BX69" s="42" t="str">
        <f t="shared" si="80"/>
        <v/>
      </c>
      <c r="BY69" s="42" t="str">
        <f t="shared" si="81"/>
        <v/>
      </c>
      <c r="BZ69" s="42" t="str">
        <f t="shared" si="81"/>
        <v/>
      </c>
      <c r="CA69" s="42" t="str">
        <f t="shared" si="81"/>
        <v/>
      </c>
      <c r="CB69" s="42" t="str">
        <f t="shared" si="81"/>
        <v/>
      </c>
      <c r="CC69" s="42" t="str">
        <f t="shared" si="81"/>
        <v/>
      </c>
      <c r="CD69" s="42" t="str">
        <f t="shared" si="81"/>
        <v/>
      </c>
      <c r="CE69" s="42" t="str">
        <f t="shared" si="81"/>
        <v/>
      </c>
      <c r="CF69" s="42" t="str">
        <f t="shared" si="81"/>
        <v/>
      </c>
      <c r="CG69" s="42" t="str">
        <f t="shared" si="81"/>
        <v/>
      </c>
      <c r="CH69" s="42" t="str">
        <f t="shared" si="81"/>
        <v/>
      </c>
      <c r="CI69" s="42" t="str">
        <f t="shared" si="81"/>
        <v/>
      </c>
      <c r="CJ69" s="42" t="str">
        <f t="shared" si="81"/>
        <v/>
      </c>
      <c r="CK69" s="42" t="str">
        <f t="shared" si="81"/>
        <v/>
      </c>
    </row>
    <row r="70" spans="3:89" ht="18.75" customHeight="1" thickBot="1">
      <c r="C70" s="19"/>
      <c r="D70" s="9"/>
      <c r="E70" s="22"/>
      <c r="F70" s="20"/>
      <c r="G70" s="20"/>
      <c r="H70" s="20"/>
      <c r="I70" s="23"/>
      <c r="K70" s="24"/>
      <c r="L70" s="20"/>
      <c r="Q70" s="6"/>
      <c r="R70" s="11"/>
      <c r="S70" s="11"/>
      <c r="T70" s="17"/>
      <c r="U70" s="17"/>
      <c r="V70" s="17"/>
      <c r="W70" s="17"/>
      <c r="X70" s="17"/>
      <c r="Y70" s="17"/>
      <c r="Z70" s="33"/>
      <c r="AA70" s="40" t="str">
        <f t="shared" si="76"/>
        <v/>
      </c>
      <c r="AB70" s="41" t="str">
        <f t="shared" si="76"/>
        <v/>
      </c>
      <c r="AC70" s="41" t="str">
        <f t="shared" si="76"/>
        <v/>
      </c>
      <c r="AD70" s="42" t="str">
        <f t="shared" si="76"/>
        <v/>
      </c>
      <c r="AE70" s="40" t="str">
        <f t="shared" si="76"/>
        <v/>
      </c>
      <c r="AF70" s="41" t="str">
        <f t="shared" si="76"/>
        <v/>
      </c>
      <c r="AG70" s="41" t="str">
        <f t="shared" si="76"/>
        <v/>
      </c>
      <c r="AH70" s="42" t="str">
        <f t="shared" si="76"/>
        <v/>
      </c>
      <c r="AI70" s="40" t="str">
        <f t="shared" si="76"/>
        <v/>
      </c>
      <c r="AJ70" s="41" t="str">
        <f t="shared" si="76"/>
        <v/>
      </c>
      <c r="AK70" s="47" t="str">
        <f t="shared" si="77"/>
        <v/>
      </c>
      <c r="AL70" s="53" t="str">
        <f t="shared" si="77"/>
        <v/>
      </c>
      <c r="AM70" s="50" t="str">
        <f t="shared" si="77"/>
        <v/>
      </c>
      <c r="AN70" s="44" t="str">
        <f t="shared" si="77"/>
        <v/>
      </c>
      <c r="AO70" s="41" t="str">
        <f t="shared" si="77"/>
        <v/>
      </c>
      <c r="AP70" s="41" t="str">
        <f t="shared" si="77"/>
        <v/>
      </c>
      <c r="AQ70" s="42" t="str">
        <f t="shared" si="77"/>
        <v/>
      </c>
      <c r="AR70" s="40" t="str">
        <f t="shared" si="77"/>
        <v/>
      </c>
      <c r="AS70" s="41" t="str">
        <f t="shared" si="77"/>
        <v/>
      </c>
      <c r="AT70" s="41" t="str">
        <f t="shared" si="77"/>
        <v/>
      </c>
      <c r="AU70" s="42" t="str">
        <f t="shared" si="78"/>
        <v/>
      </c>
      <c r="AV70" s="40" t="str">
        <f t="shared" si="78"/>
        <v/>
      </c>
      <c r="AW70" s="41" t="str">
        <f t="shared" si="78"/>
        <v/>
      </c>
      <c r="AX70" s="41" t="str">
        <f t="shared" si="78"/>
        <v/>
      </c>
      <c r="AY70" s="41" t="str">
        <f t="shared" si="78"/>
        <v/>
      </c>
      <c r="AZ70" s="42" t="str">
        <f t="shared" si="78"/>
        <v/>
      </c>
      <c r="BA70" s="42" t="str">
        <f t="shared" si="78"/>
        <v/>
      </c>
      <c r="BB70" s="42" t="str">
        <f t="shared" si="78"/>
        <v/>
      </c>
      <c r="BC70" s="42" t="str">
        <f t="shared" si="78"/>
        <v/>
      </c>
      <c r="BD70" s="42" t="str">
        <f t="shared" si="78"/>
        <v/>
      </c>
      <c r="BE70" s="42" t="str">
        <f t="shared" si="79"/>
        <v/>
      </c>
      <c r="BF70" s="42" t="str">
        <f t="shared" si="79"/>
        <v/>
      </c>
      <c r="BG70" s="42" t="str">
        <f t="shared" si="79"/>
        <v/>
      </c>
      <c r="BH70" s="42" t="str">
        <f t="shared" si="79"/>
        <v/>
      </c>
      <c r="BI70" s="42" t="str">
        <f t="shared" si="79"/>
        <v/>
      </c>
      <c r="BJ70" s="42" t="str">
        <f t="shared" si="79"/>
        <v/>
      </c>
      <c r="BK70" s="42" t="str">
        <f t="shared" si="79"/>
        <v/>
      </c>
      <c r="BL70" s="42" t="str">
        <f t="shared" si="79"/>
        <v/>
      </c>
      <c r="BM70" s="42" t="str">
        <f t="shared" si="79"/>
        <v/>
      </c>
      <c r="BN70" s="42" t="str">
        <f t="shared" si="79"/>
        <v/>
      </c>
      <c r="BO70" s="42" t="str">
        <f t="shared" si="80"/>
        <v/>
      </c>
      <c r="BP70" s="42" t="str">
        <f t="shared" si="80"/>
        <v/>
      </c>
      <c r="BQ70" s="42" t="str">
        <f t="shared" si="80"/>
        <v/>
      </c>
      <c r="BR70" s="42" t="str">
        <f t="shared" si="80"/>
        <v/>
      </c>
      <c r="BS70" s="42" t="str">
        <f t="shared" si="80"/>
        <v/>
      </c>
      <c r="BT70" s="42" t="str">
        <f t="shared" si="80"/>
        <v/>
      </c>
      <c r="BU70" s="42" t="str">
        <f t="shared" si="80"/>
        <v/>
      </c>
      <c r="BV70" s="42" t="str">
        <f t="shared" si="80"/>
        <v/>
      </c>
      <c r="BW70" s="42" t="str">
        <f t="shared" si="80"/>
        <v/>
      </c>
      <c r="BX70" s="42" t="str">
        <f t="shared" si="80"/>
        <v/>
      </c>
      <c r="BY70" s="42" t="str">
        <f t="shared" si="81"/>
        <v/>
      </c>
      <c r="BZ70" s="42" t="str">
        <f t="shared" si="81"/>
        <v/>
      </c>
      <c r="CA70" s="42" t="str">
        <f t="shared" si="81"/>
        <v/>
      </c>
      <c r="CB70" s="42" t="str">
        <f t="shared" si="81"/>
        <v/>
      </c>
      <c r="CC70" s="42" t="str">
        <f t="shared" si="81"/>
        <v/>
      </c>
      <c r="CD70" s="42" t="str">
        <f t="shared" si="81"/>
        <v/>
      </c>
      <c r="CE70" s="42" t="str">
        <f t="shared" si="81"/>
        <v/>
      </c>
      <c r="CF70" s="42" t="str">
        <f t="shared" si="81"/>
        <v/>
      </c>
      <c r="CG70" s="42" t="str">
        <f t="shared" si="81"/>
        <v/>
      </c>
      <c r="CH70" s="42" t="str">
        <f t="shared" si="81"/>
        <v/>
      </c>
      <c r="CI70" s="42" t="str">
        <f t="shared" si="81"/>
        <v/>
      </c>
      <c r="CJ70" s="42" t="str">
        <f t="shared" si="81"/>
        <v/>
      </c>
      <c r="CK70" s="42" t="str">
        <f t="shared" si="81"/>
        <v/>
      </c>
    </row>
    <row r="71" spans="3:89" ht="18.75" customHeight="1" thickBot="1">
      <c r="C71" s="19"/>
      <c r="D71" s="9"/>
      <c r="E71" s="22"/>
      <c r="F71" s="20"/>
      <c r="G71" s="20"/>
      <c r="H71" s="20"/>
      <c r="I71" s="23"/>
      <c r="K71" s="24"/>
      <c r="L71" s="20"/>
      <c r="Q71" s="6"/>
      <c r="R71" s="11"/>
      <c r="S71" s="11"/>
      <c r="T71" s="17"/>
      <c r="U71" s="17"/>
      <c r="V71" s="17"/>
      <c r="W71" s="17"/>
      <c r="X71" s="17"/>
      <c r="Y71" s="17"/>
      <c r="Z71" s="33"/>
      <c r="AA71" s="40" t="str">
        <f t="shared" si="76"/>
        <v/>
      </c>
      <c r="AB71" s="41" t="str">
        <f t="shared" si="76"/>
        <v/>
      </c>
      <c r="AC71" s="41" t="str">
        <f t="shared" si="76"/>
        <v/>
      </c>
      <c r="AD71" s="42" t="str">
        <f t="shared" si="76"/>
        <v/>
      </c>
      <c r="AE71" s="40" t="str">
        <f t="shared" si="76"/>
        <v/>
      </c>
      <c r="AF71" s="41" t="str">
        <f t="shared" si="76"/>
        <v/>
      </c>
      <c r="AG71" s="41" t="str">
        <f t="shared" si="76"/>
        <v/>
      </c>
      <c r="AH71" s="42" t="str">
        <f t="shared" si="76"/>
        <v/>
      </c>
      <c r="AI71" s="40" t="str">
        <f t="shared" si="76"/>
        <v/>
      </c>
      <c r="AJ71" s="41" t="str">
        <f t="shared" si="76"/>
        <v/>
      </c>
      <c r="AK71" s="47" t="str">
        <f t="shared" si="77"/>
        <v/>
      </c>
      <c r="AL71" s="53" t="str">
        <f t="shared" si="77"/>
        <v/>
      </c>
      <c r="AM71" s="50" t="str">
        <f t="shared" si="77"/>
        <v/>
      </c>
      <c r="AN71" s="44" t="str">
        <f t="shared" si="77"/>
        <v/>
      </c>
      <c r="AO71" s="41" t="str">
        <f t="shared" si="77"/>
        <v/>
      </c>
      <c r="AP71" s="41" t="str">
        <f t="shared" si="77"/>
        <v/>
      </c>
      <c r="AQ71" s="42" t="str">
        <f t="shared" si="77"/>
        <v/>
      </c>
      <c r="AR71" s="40" t="str">
        <f t="shared" si="77"/>
        <v/>
      </c>
      <c r="AS71" s="41" t="str">
        <f t="shared" si="77"/>
        <v/>
      </c>
      <c r="AT71" s="41" t="str">
        <f t="shared" si="77"/>
        <v/>
      </c>
      <c r="AU71" s="42" t="str">
        <f t="shared" si="78"/>
        <v/>
      </c>
      <c r="AV71" s="40" t="str">
        <f t="shared" si="78"/>
        <v/>
      </c>
      <c r="AW71" s="41" t="str">
        <f t="shared" si="78"/>
        <v/>
      </c>
      <c r="AX71" s="41" t="str">
        <f t="shared" si="78"/>
        <v/>
      </c>
      <c r="AY71" s="41" t="str">
        <f t="shared" si="78"/>
        <v/>
      </c>
      <c r="AZ71" s="42" t="str">
        <f t="shared" si="78"/>
        <v/>
      </c>
      <c r="BA71" s="42" t="str">
        <f t="shared" si="78"/>
        <v/>
      </c>
      <c r="BB71" s="42" t="str">
        <f t="shared" si="78"/>
        <v/>
      </c>
      <c r="BC71" s="42" t="str">
        <f t="shared" si="78"/>
        <v/>
      </c>
      <c r="BD71" s="42" t="str">
        <f t="shared" si="78"/>
        <v/>
      </c>
      <c r="BE71" s="42" t="str">
        <f t="shared" si="79"/>
        <v/>
      </c>
      <c r="BF71" s="42" t="str">
        <f t="shared" si="79"/>
        <v/>
      </c>
      <c r="BG71" s="42" t="str">
        <f t="shared" si="79"/>
        <v/>
      </c>
      <c r="BH71" s="42" t="str">
        <f t="shared" si="79"/>
        <v/>
      </c>
      <c r="BI71" s="42" t="str">
        <f t="shared" si="79"/>
        <v/>
      </c>
      <c r="BJ71" s="42" t="str">
        <f t="shared" si="79"/>
        <v/>
      </c>
      <c r="BK71" s="42" t="str">
        <f t="shared" si="79"/>
        <v/>
      </c>
      <c r="BL71" s="42" t="str">
        <f t="shared" si="79"/>
        <v/>
      </c>
      <c r="BM71" s="42" t="str">
        <f t="shared" si="79"/>
        <v/>
      </c>
      <c r="BN71" s="42" t="str">
        <f t="shared" si="79"/>
        <v/>
      </c>
      <c r="BO71" s="42" t="str">
        <f t="shared" si="80"/>
        <v/>
      </c>
      <c r="BP71" s="42" t="str">
        <f t="shared" si="80"/>
        <v/>
      </c>
      <c r="BQ71" s="42" t="str">
        <f t="shared" si="80"/>
        <v/>
      </c>
      <c r="BR71" s="42" t="str">
        <f t="shared" si="80"/>
        <v/>
      </c>
      <c r="BS71" s="42" t="str">
        <f t="shared" si="80"/>
        <v/>
      </c>
      <c r="BT71" s="42" t="str">
        <f t="shared" si="80"/>
        <v/>
      </c>
      <c r="BU71" s="42" t="str">
        <f t="shared" si="80"/>
        <v/>
      </c>
      <c r="BV71" s="42" t="str">
        <f t="shared" si="80"/>
        <v/>
      </c>
      <c r="BW71" s="42" t="str">
        <f t="shared" si="80"/>
        <v/>
      </c>
      <c r="BX71" s="42" t="str">
        <f t="shared" si="80"/>
        <v/>
      </c>
      <c r="BY71" s="42" t="str">
        <f t="shared" si="81"/>
        <v/>
      </c>
      <c r="BZ71" s="42" t="str">
        <f t="shared" si="81"/>
        <v/>
      </c>
      <c r="CA71" s="42" t="str">
        <f t="shared" si="81"/>
        <v/>
      </c>
      <c r="CB71" s="42" t="str">
        <f t="shared" si="81"/>
        <v/>
      </c>
      <c r="CC71" s="42" t="str">
        <f t="shared" si="81"/>
        <v/>
      </c>
      <c r="CD71" s="42" t="str">
        <f t="shared" si="81"/>
        <v/>
      </c>
      <c r="CE71" s="42" t="str">
        <f t="shared" si="81"/>
        <v/>
      </c>
      <c r="CF71" s="42" t="str">
        <f t="shared" si="81"/>
        <v/>
      </c>
      <c r="CG71" s="42" t="str">
        <f t="shared" si="81"/>
        <v/>
      </c>
      <c r="CH71" s="42" t="str">
        <f t="shared" si="81"/>
        <v/>
      </c>
      <c r="CI71" s="42" t="str">
        <f t="shared" si="81"/>
        <v/>
      </c>
      <c r="CJ71" s="42" t="str">
        <f t="shared" si="81"/>
        <v/>
      </c>
      <c r="CK71" s="42" t="str">
        <f t="shared" si="81"/>
        <v/>
      </c>
    </row>
    <row r="72" spans="3:89" ht="18.75" customHeight="1" thickBot="1">
      <c r="C72" s="19"/>
      <c r="D72" s="9"/>
      <c r="E72" s="22"/>
      <c r="F72" s="20"/>
      <c r="G72" s="20"/>
      <c r="H72" s="20"/>
      <c r="I72" s="23"/>
      <c r="K72" s="24"/>
      <c r="L72" s="20"/>
      <c r="Q72" s="6"/>
      <c r="R72" s="11"/>
      <c r="S72" s="11"/>
      <c r="T72" s="17"/>
      <c r="U72" s="17"/>
      <c r="V72" s="17"/>
      <c r="W72" s="17"/>
      <c r="X72" s="17"/>
      <c r="Y72" s="17"/>
      <c r="Z72" s="33"/>
      <c r="AA72" s="40" t="str">
        <f t="shared" si="76"/>
        <v/>
      </c>
      <c r="AB72" s="41" t="str">
        <f t="shared" si="76"/>
        <v/>
      </c>
      <c r="AC72" s="41" t="str">
        <f t="shared" si="76"/>
        <v/>
      </c>
      <c r="AD72" s="42" t="str">
        <f t="shared" si="76"/>
        <v/>
      </c>
      <c r="AE72" s="40" t="str">
        <f t="shared" si="76"/>
        <v/>
      </c>
      <c r="AF72" s="41" t="str">
        <f t="shared" si="76"/>
        <v/>
      </c>
      <c r="AG72" s="41" t="str">
        <f t="shared" si="76"/>
        <v/>
      </c>
      <c r="AH72" s="42" t="str">
        <f t="shared" si="76"/>
        <v/>
      </c>
      <c r="AI72" s="40" t="str">
        <f t="shared" si="76"/>
        <v/>
      </c>
      <c r="AJ72" s="41" t="str">
        <f t="shared" si="76"/>
        <v/>
      </c>
      <c r="AK72" s="47" t="str">
        <f t="shared" si="77"/>
        <v/>
      </c>
      <c r="AL72" s="53" t="str">
        <f t="shared" si="77"/>
        <v/>
      </c>
      <c r="AM72" s="50" t="str">
        <f t="shared" si="77"/>
        <v/>
      </c>
      <c r="AN72" s="44" t="str">
        <f t="shared" si="77"/>
        <v/>
      </c>
      <c r="AO72" s="41" t="str">
        <f t="shared" si="77"/>
        <v/>
      </c>
      <c r="AP72" s="41" t="str">
        <f t="shared" si="77"/>
        <v/>
      </c>
      <c r="AQ72" s="42" t="str">
        <f t="shared" si="77"/>
        <v/>
      </c>
      <c r="AR72" s="40" t="str">
        <f t="shared" si="77"/>
        <v/>
      </c>
      <c r="AS72" s="41" t="str">
        <f t="shared" si="77"/>
        <v/>
      </c>
      <c r="AT72" s="41" t="str">
        <f t="shared" si="77"/>
        <v/>
      </c>
      <c r="AU72" s="42" t="str">
        <f t="shared" si="78"/>
        <v/>
      </c>
      <c r="AV72" s="40" t="str">
        <f t="shared" si="78"/>
        <v/>
      </c>
      <c r="AW72" s="41" t="str">
        <f t="shared" si="78"/>
        <v/>
      </c>
      <c r="AX72" s="41" t="str">
        <f t="shared" si="78"/>
        <v/>
      </c>
      <c r="AY72" s="41" t="str">
        <f t="shared" si="78"/>
        <v/>
      </c>
      <c r="AZ72" s="42" t="str">
        <f t="shared" si="78"/>
        <v/>
      </c>
      <c r="BA72" s="42" t="str">
        <f t="shared" si="78"/>
        <v/>
      </c>
      <c r="BB72" s="42" t="str">
        <f t="shared" si="78"/>
        <v/>
      </c>
      <c r="BC72" s="42" t="str">
        <f t="shared" si="78"/>
        <v/>
      </c>
      <c r="BD72" s="42" t="str">
        <f t="shared" si="78"/>
        <v/>
      </c>
      <c r="BE72" s="42" t="str">
        <f t="shared" si="79"/>
        <v/>
      </c>
      <c r="BF72" s="42" t="str">
        <f t="shared" si="79"/>
        <v/>
      </c>
      <c r="BG72" s="42" t="str">
        <f t="shared" si="79"/>
        <v/>
      </c>
      <c r="BH72" s="42" t="str">
        <f t="shared" si="79"/>
        <v/>
      </c>
      <c r="BI72" s="42" t="str">
        <f t="shared" si="79"/>
        <v/>
      </c>
      <c r="BJ72" s="42" t="str">
        <f t="shared" si="79"/>
        <v/>
      </c>
      <c r="BK72" s="42" t="str">
        <f t="shared" si="79"/>
        <v/>
      </c>
      <c r="BL72" s="42" t="str">
        <f t="shared" si="79"/>
        <v/>
      </c>
      <c r="BM72" s="42" t="str">
        <f t="shared" si="79"/>
        <v/>
      </c>
      <c r="BN72" s="42" t="str">
        <f t="shared" si="79"/>
        <v/>
      </c>
      <c r="BO72" s="42" t="str">
        <f t="shared" si="80"/>
        <v/>
      </c>
      <c r="BP72" s="42" t="str">
        <f t="shared" si="80"/>
        <v/>
      </c>
      <c r="BQ72" s="42" t="str">
        <f t="shared" si="80"/>
        <v/>
      </c>
      <c r="BR72" s="42" t="str">
        <f t="shared" si="80"/>
        <v/>
      </c>
      <c r="BS72" s="42" t="str">
        <f t="shared" si="80"/>
        <v/>
      </c>
      <c r="BT72" s="42" t="str">
        <f t="shared" si="80"/>
        <v/>
      </c>
      <c r="BU72" s="42" t="str">
        <f t="shared" si="80"/>
        <v/>
      </c>
      <c r="BV72" s="42" t="str">
        <f t="shared" si="80"/>
        <v/>
      </c>
      <c r="BW72" s="42" t="str">
        <f t="shared" si="80"/>
        <v/>
      </c>
      <c r="BX72" s="42" t="str">
        <f t="shared" si="80"/>
        <v/>
      </c>
      <c r="BY72" s="42" t="str">
        <f t="shared" si="81"/>
        <v/>
      </c>
      <c r="BZ72" s="42" t="str">
        <f t="shared" si="81"/>
        <v/>
      </c>
      <c r="CA72" s="42" t="str">
        <f t="shared" si="81"/>
        <v/>
      </c>
      <c r="CB72" s="42" t="str">
        <f t="shared" si="81"/>
        <v/>
      </c>
      <c r="CC72" s="42" t="str">
        <f t="shared" si="81"/>
        <v/>
      </c>
      <c r="CD72" s="42" t="str">
        <f t="shared" si="81"/>
        <v/>
      </c>
      <c r="CE72" s="42" t="str">
        <f t="shared" si="81"/>
        <v/>
      </c>
      <c r="CF72" s="42" t="str">
        <f t="shared" si="81"/>
        <v/>
      </c>
      <c r="CG72" s="42" t="str">
        <f t="shared" si="81"/>
        <v/>
      </c>
      <c r="CH72" s="42" t="str">
        <f t="shared" si="81"/>
        <v/>
      </c>
      <c r="CI72" s="42" t="str">
        <f t="shared" si="81"/>
        <v/>
      </c>
      <c r="CJ72" s="42" t="str">
        <f t="shared" si="81"/>
        <v/>
      </c>
      <c r="CK72" s="42" t="str">
        <f t="shared" si="81"/>
        <v/>
      </c>
    </row>
    <row r="73" spans="3:89" ht="18.75" customHeight="1" thickBot="1">
      <c r="C73" s="19"/>
      <c r="D73" s="9"/>
      <c r="E73" s="22"/>
      <c r="F73" s="20"/>
      <c r="G73" s="20"/>
      <c r="H73" s="20"/>
      <c r="I73" s="23"/>
      <c r="K73" s="24"/>
      <c r="L73" s="20"/>
      <c r="Q73" s="6"/>
      <c r="R73" s="11"/>
      <c r="S73" s="11"/>
      <c r="T73" s="17"/>
      <c r="U73" s="17"/>
      <c r="V73" s="17"/>
      <c r="W73" s="17"/>
      <c r="X73" s="17"/>
      <c r="Y73" s="17"/>
      <c r="Z73" s="33"/>
      <c r="AA73" s="40" t="str">
        <f t="shared" ref="AA73:AJ82" si="82">IF($A73="","",IF($B73="Milestone",IF(AND(AA$1&lt;=$R73,AA$1+7&gt;$R73),"◆",""),IF(AND(AA$1&lt;$S73,AA$1+7&gt;$R73),IF($B73="Summary","=",IF($B73="Activity",IF($Z73=TRUE,"X","O"),"")),"")))</f>
        <v/>
      </c>
      <c r="AB73" s="41" t="str">
        <f t="shared" si="82"/>
        <v/>
      </c>
      <c r="AC73" s="41" t="str">
        <f t="shared" si="82"/>
        <v/>
      </c>
      <c r="AD73" s="42" t="str">
        <f t="shared" si="82"/>
        <v/>
      </c>
      <c r="AE73" s="40" t="str">
        <f t="shared" si="82"/>
        <v/>
      </c>
      <c r="AF73" s="41" t="str">
        <f t="shared" si="82"/>
        <v/>
      </c>
      <c r="AG73" s="41" t="str">
        <f t="shared" si="82"/>
        <v/>
      </c>
      <c r="AH73" s="42" t="str">
        <f t="shared" si="82"/>
        <v/>
      </c>
      <c r="AI73" s="40" t="str">
        <f t="shared" si="82"/>
        <v/>
      </c>
      <c r="AJ73" s="41" t="str">
        <f t="shared" si="82"/>
        <v/>
      </c>
      <c r="AK73" s="47" t="str">
        <f t="shared" ref="AK73:AT82" si="83">IF($A73="","",IF($B73="Milestone",IF(AND(AK$1&lt;=$R73,AK$1+7&gt;$R73),"◆",""),IF(AND(AK$1&lt;$S73,AK$1+7&gt;$R73),IF($B73="Summary","=",IF($B73="Activity",IF($Z73=TRUE,"X","O"),"")),"")))</f>
        <v/>
      </c>
      <c r="AL73" s="53" t="str">
        <f t="shared" si="83"/>
        <v/>
      </c>
      <c r="AM73" s="50" t="str">
        <f t="shared" si="83"/>
        <v/>
      </c>
      <c r="AN73" s="44" t="str">
        <f t="shared" si="83"/>
        <v/>
      </c>
      <c r="AO73" s="41" t="str">
        <f t="shared" si="83"/>
        <v/>
      </c>
      <c r="AP73" s="41" t="str">
        <f t="shared" si="83"/>
        <v/>
      </c>
      <c r="AQ73" s="42" t="str">
        <f t="shared" si="83"/>
        <v/>
      </c>
      <c r="AR73" s="40" t="str">
        <f t="shared" si="83"/>
        <v/>
      </c>
      <c r="AS73" s="41" t="str">
        <f t="shared" si="83"/>
        <v/>
      </c>
      <c r="AT73" s="41" t="str">
        <f t="shared" si="83"/>
        <v/>
      </c>
      <c r="AU73" s="42" t="str">
        <f t="shared" ref="AU73:BD82" si="84">IF($A73="","",IF($B73="Milestone",IF(AND(AU$1&lt;=$R73,AU$1+7&gt;$R73),"◆",""),IF(AND(AU$1&lt;$S73,AU$1+7&gt;$R73),IF($B73="Summary","=",IF($B73="Activity",IF($Z73=TRUE,"X","O"),"")),"")))</f>
        <v/>
      </c>
      <c r="AV73" s="40" t="str">
        <f t="shared" si="84"/>
        <v/>
      </c>
      <c r="AW73" s="41" t="str">
        <f t="shared" si="84"/>
        <v/>
      </c>
      <c r="AX73" s="41" t="str">
        <f t="shared" si="84"/>
        <v/>
      </c>
      <c r="AY73" s="41" t="str">
        <f t="shared" si="84"/>
        <v/>
      </c>
      <c r="AZ73" s="42" t="str">
        <f t="shared" si="84"/>
        <v/>
      </c>
      <c r="BA73" s="42" t="str">
        <f t="shared" si="84"/>
        <v/>
      </c>
      <c r="BB73" s="42" t="str">
        <f t="shared" si="84"/>
        <v/>
      </c>
      <c r="BC73" s="42" t="str">
        <f t="shared" si="84"/>
        <v/>
      </c>
      <c r="BD73" s="42" t="str">
        <f t="shared" si="84"/>
        <v/>
      </c>
      <c r="BE73" s="42" t="str">
        <f t="shared" ref="BE73:BN82" si="85">IF($A73="","",IF($B73="Milestone",IF(AND(BE$1&lt;=$R73,BE$1+7&gt;$R73),"◆",""),IF(AND(BE$1&lt;$S73,BE$1+7&gt;$R73),IF($B73="Summary","=",IF($B73="Activity",IF($Z73=TRUE,"X","O"),"")),"")))</f>
        <v/>
      </c>
      <c r="BF73" s="42" t="str">
        <f t="shared" si="85"/>
        <v/>
      </c>
      <c r="BG73" s="42" t="str">
        <f t="shared" si="85"/>
        <v/>
      </c>
      <c r="BH73" s="42" t="str">
        <f t="shared" si="85"/>
        <v/>
      </c>
      <c r="BI73" s="42" t="str">
        <f t="shared" si="85"/>
        <v/>
      </c>
      <c r="BJ73" s="42" t="str">
        <f t="shared" si="85"/>
        <v/>
      </c>
      <c r="BK73" s="42" t="str">
        <f t="shared" si="85"/>
        <v/>
      </c>
      <c r="BL73" s="42" t="str">
        <f t="shared" si="85"/>
        <v/>
      </c>
      <c r="BM73" s="42" t="str">
        <f t="shared" si="85"/>
        <v/>
      </c>
      <c r="BN73" s="42" t="str">
        <f t="shared" si="85"/>
        <v/>
      </c>
      <c r="BO73" s="42" t="str">
        <f t="shared" ref="BO73:BX82" si="86">IF($A73="","",IF($B73="Milestone",IF(AND(BO$1&lt;=$R73,BO$1+7&gt;$R73),"◆",""),IF(AND(BO$1&lt;$S73,BO$1+7&gt;$R73),IF($B73="Summary","=",IF($B73="Activity",IF($Z73=TRUE,"X","O"),"")),"")))</f>
        <v/>
      </c>
      <c r="BP73" s="42" t="str">
        <f t="shared" si="86"/>
        <v/>
      </c>
      <c r="BQ73" s="42" t="str">
        <f t="shared" si="86"/>
        <v/>
      </c>
      <c r="BR73" s="42" t="str">
        <f t="shared" si="86"/>
        <v/>
      </c>
      <c r="BS73" s="42" t="str">
        <f t="shared" si="86"/>
        <v/>
      </c>
      <c r="BT73" s="42" t="str">
        <f t="shared" si="86"/>
        <v/>
      </c>
      <c r="BU73" s="42" t="str">
        <f t="shared" si="86"/>
        <v/>
      </c>
      <c r="BV73" s="42" t="str">
        <f t="shared" si="86"/>
        <v/>
      </c>
      <c r="BW73" s="42" t="str">
        <f t="shared" si="86"/>
        <v/>
      </c>
      <c r="BX73" s="42" t="str">
        <f t="shared" si="86"/>
        <v/>
      </c>
      <c r="BY73" s="42" t="str">
        <f t="shared" ref="BY73:CK82" si="87">IF($A73="","",IF($B73="Milestone",IF(AND(BY$1&lt;=$R73,BY$1+7&gt;$R73),"◆",""),IF(AND(BY$1&lt;$S73,BY$1+7&gt;$R73),IF($B73="Summary","=",IF($B73="Activity",IF($Z73=TRUE,"X","O"),"")),"")))</f>
        <v/>
      </c>
      <c r="BZ73" s="42" t="str">
        <f t="shared" si="87"/>
        <v/>
      </c>
      <c r="CA73" s="42" t="str">
        <f t="shared" si="87"/>
        <v/>
      </c>
      <c r="CB73" s="42" t="str">
        <f t="shared" si="87"/>
        <v/>
      </c>
      <c r="CC73" s="42" t="str">
        <f t="shared" si="87"/>
        <v/>
      </c>
      <c r="CD73" s="42" t="str">
        <f t="shared" si="87"/>
        <v/>
      </c>
      <c r="CE73" s="42" t="str">
        <f t="shared" si="87"/>
        <v/>
      </c>
      <c r="CF73" s="42" t="str">
        <f t="shared" si="87"/>
        <v/>
      </c>
      <c r="CG73" s="42" t="str">
        <f t="shared" si="87"/>
        <v/>
      </c>
      <c r="CH73" s="42" t="str">
        <f t="shared" si="87"/>
        <v/>
      </c>
      <c r="CI73" s="42" t="str">
        <f t="shared" si="87"/>
        <v/>
      </c>
      <c r="CJ73" s="42" t="str">
        <f t="shared" si="87"/>
        <v/>
      </c>
      <c r="CK73" s="42" t="str">
        <f t="shared" si="87"/>
        <v/>
      </c>
    </row>
    <row r="74" spans="3:89" ht="18.75" customHeight="1" thickBot="1">
      <c r="C74" s="19"/>
      <c r="D74" s="9"/>
      <c r="E74" s="22"/>
      <c r="F74" s="20"/>
      <c r="G74" s="20"/>
      <c r="H74" s="20"/>
      <c r="I74" s="23"/>
      <c r="K74" s="24"/>
      <c r="L74" s="20"/>
      <c r="Q74" s="6"/>
      <c r="R74" s="11"/>
      <c r="S74" s="11"/>
      <c r="T74" s="17"/>
      <c r="U74" s="17"/>
      <c r="V74" s="17"/>
      <c r="W74" s="17"/>
      <c r="X74" s="17"/>
      <c r="Y74" s="17"/>
      <c r="Z74" s="33"/>
      <c r="AA74" s="40" t="str">
        <f t="shared" si="82"/>
        <v/>
      </c>
      <c r="AB74" s="41" t="str">
        <f t="shared" si="82"/>
        <v/>
      </c>
      <c r="AC74" s="41" t="str">
        <f t="shared" si="82"/>
        <v/>
      </c>
      <c r="AD74" s="42" t="str">
        <f t="shared" si="82"/>
        <v/>
      </c>
      <c r="AE74" s="40" t="str">
        <f t="shared" si="82"/>
        <v/>
      </c>
      <c r="AF74" s="41" t="str">
        <f t="shared" si="82"/>
        <v/>
      </c>
      <c r="AG74" s="41" t="str">
        <f t="shared" si="82"/>
        <v/>
      </c>
      <c r="AH74" s="42" t="str">
        <f t="shared" si="82"/>
        <v/>
      </c>
      <c r="AI74" s="40" t="str">
        <f t="shared" si="82"/>
        <v/>
      </c>
      <c r="AJ74" s="41" t="str">
        <f t="shared" si="82"/>
        <v/>
      </c>
      <c r="AK74" s="47" t="str">
        <f t="shared" si="83"/>
        <v/>
      </c>
      <c r="AL74" s="53" t="str">
        <f t="shared" si="83"/>
        <v/>
      </c>
      <c r="AM74" s="50" t="str">
        <f t="shared" si="83"/>
        <v/>
      </c>
      <c r="AN74" s="44" t="str">
        <f t="shared" si="83"/>
        <v/>
      </c>
      <c r="AO74" s="41" t="str">
        <f t="shared" si="83"/>
        <v/>
      </c>
      <c r="AP74" s="41" t="str">
        <f t="shared" si="83"/>
        <v/>
      </c>
      <c r="AQ74" s="42" t="str">
        <f t="shared" si="83"/>
        <v/>
      </c>
      <c r="AR74" s="40" t="str">
        <f t="shared" si="83"/>
        <v/>
      </c>
      <c r="AS74" s="41" t="str">
        <f t="shared" si="83"/>
        <v/>
      </c>
      <c r="AT74" s="41" t="str">
        <f t="shared" si="83"/>
        <v/>
      </c>
      <c r="AU74" s="42" t="str">
        <f t="shared" si="84"/>
        <v/>
      </c>
      <c r="AV74" s="40" t="str">
        <f t="shared" si="84"/>
        <v/>
      </c>
      <c r="AW74" s="41" t="str">
        <f t="shared" si="84"/>
        <v/>
      </c>
      <c r="AX74" s="41" t="str">
        <f t="shared" si="84"/>
        <v/>
      </c>
      <c r="AY74" s="41" t="str">
        <f t="shared" si="84"/>
        <v/>
      </c>
      <c r="AZ74" s="42" t="str">
        <f t="shared" si="84"/>
        <v/>
      </c>
      <c r="BA74" s="42" t="str">
        <f t="shared" si="84"/>
        <v/>
      </c>
      <c r="BB74" s="42" t="str">
        <f t="shared" si="84"/>
        <v/>
      </c>
      <c r="BC74" s="42" t="str">
        <f t="shared" si="84"/>
        <v/>
      </c>
      <c r="BD74" s="42" t="str">
        <f t="shared" si="84"/>
        <v/>
      </c>
      <c r="BE74" s="42" t="str">
        <f t="shared" si="85"/>
        <v/>
      </c>
      <c r="BF74" s="42" t="str">
        <f t="shared" si="85"/>
        <v/>
      </c>
      <c r="BG74" s="42" t="str">
        <f t="shared" si="85"/>
        <v/>
      </c>
      <c r="BH74" s="42" t="str">
        <f t="shared" si="85"/>
        <v/>
      </c>
      <c r="BI74" s="42" t="str">
        <f t="shared" si="85"/>
        <v/>
      </c>
      <c r="BJ74" s="42" t="str">
        <f t="shared" si="85"/>
        <v/>
      </c>
      <c r="BK74" s="42" t="str">
        <f t="shared" si="85"/>
        <v/>
      </c>
      <c r="BL74" s="42" t="str">
        <f t="shared" si="85"/>
        <v/>
      </c>
      <c r="BM74" s="42" t="str">
        <f t="shared" si="85"/>
        <v/>
      </c>
      <c r="BN74" s="42" t="str">
        <f t="shared" si="85"/>
        <v/>
      </c>
      <c r="BO74" s="42" t="str">
        <f t="shared" si="86"/>
        <v/>
      </c>
      <c r="BP74" s="42" t="str">
        <f t="shared" si="86"/>
        <v/>
      </c>
      <c r="BQ74" s="42" t="str">
        <f t="shared" si="86"/>
        <v/>
      </c>
      <c r="BR74" s="42" t="str">
        <f t="shared" si="86"/>
        <v/>
      </c>
      <c r="BS74" s="42" t="str">
        <f t="shared" si="86"/>
        <v/>
      </c>
      <c r="BT74" s="42" t="str">
        <f t="shared" si="86"/>
        <v/>
      </c>
      <c r="BU74" s="42" t="str">
        <f t="shared" si="86"/>
        <v/>
      </c>
      <c r="BV74" s="42" t="str">
        <f t="shared" si="86"/>
        <v/>
      </c>
      <c r="BW74" s="42" t="str">
        <f t="shared" si="86"/>
        <v/>
      </c>
      <c r="BX74" s="42" t="str">
        <f t="shared" si="86"/>
        <v/>
      </c>
      <c r="BY74" s="42" t="str">
        <f t="shared" si="87"/>
        <v/>
      </c>
      <c r="BZ74" s="42" t="str">
        <f t="shared" si="87"/>
        <v/>
      </c>
      <c r="CA74" s="42" t="str">
        <f t="shared" si="87"/>
        <v/>
      </c>
      <c r="CB74" s="42" t="str">
        <f t="shared" si="87"/>
        <v/>
      </c>
      <c r="CC74" s="42" t="str">
        <f t="shared" si="87"/>
        <v/>
      </c>
      <c r="CD74" s="42" t="str">
        <f t="shared" si="87"/>
        <v/>
      </c>
      <c r="CE74" s="42" t="str">
        <f t="shared" si="87"/>
        <v/>
      </c>
      <c r="CF74" s="42" t="str">
        <f t="shared" si="87"/>
        <v/>
      </c>
      <c r="CG74" s="42" t="str">
        <f t="shared" si="87"/>
        <v/>
      </c>
      <c r="CH74" s="42" t="str">
        <f t="shared" si="87"/>
        <v/>
      </c>
      <c r="CI74" s="42" t="str">
        <f t="shared" si="87"/>
        <v/>
      </c>
      <c r="CJ74" s="42" t="str">
        <f t="shared" si="87"/>
        <v/>
      </c>
      <c r="CK74" s="42" t="str">
        <f t="shared" si="87"/>
        <v/>
      </c>
    </row>
    <row r="75" spans="3:89" ht="18.75" customHeight="1" thickBot="1">
      <c r="C75" s="19"/>
      <c r="D75" s="9"/>
      <c r="E75" s="22"/>
      <c r="F75" s="20"/>
      <c r="G75" s="20"/>
      <c r="H75" s="20"/>
      <c r="I75" s="23"/>
      <c r="K75" s="24"/>
      <c r="L75" s="20"/>
      <c r="Q75" s="6"/>
      <c r="R75" s="11"/>
      <c r="S75" s="11"/>
      <c r="T75" s="17"/>
      <c r="U75" s="17"/>
      <c r="V75" s="17"/>
      <c r="W75" s="17"/>
      <c r="X75" s="17"/>
      <c r="Y75" s="17"/>
      <c r="Z75" s="33"/>
      <c r="AA75" s="40" t="str">
        <f t="shared" si="82"/>
        <v/>
      </c>
      <c r="AB75" s="41" t="str">
        <f t="shared" si="82"/>
        <v/>
      </c>
      <c r="AC75" s="41" t="str">
        <f t="shared" si="82"/>
        <v/>
      </c>
      <c r="AD75" s="42" t="str">
        <f t="shared" si="82"/>
        <v/>
      </c>
      <c r="AE75" s="40" t="str">
        <f t="shared" si="82"/>
        <v/>
      </c>
      <c r="AF75" s="41" t="str">
        <f t="shared" si="82"/>
        <v/>
      </c>
      <c r="AG75" s="41" t="str">
        <f t="shared" si="82"/>
        <v/>
      </c>
      <c r="AH75" s="42" t="str">
        <f t="shared" si="82"/>
        <v/>
      </c>
      <c r="AI75" s="40" t="str">
        <f t="shared" si="82"/>
        <v/>
      </c>
      <c r="AJ75" s="41" t="str">
        <f t="shared" si="82"/>
        <v/>
      </c>
      <c r="AK75" s="47" t="str">
        <f t="shared" si="83"/>
        <v/>
      </c>
      <c r="AL75" s="53" t="str">
        <f t="shared" si="83"/>
        <v/>
      </c>
      <c r="AM75" s="50" t="str">
        <f t="shared" si="83"/>
        <v/>
      </c>
      <c r="AN75" s="44" t="str">
        <f t="shared" si="83"/>
        <v/>
      </c>
      <c r="AO75" s="41" t="str">
        <f t="shared" si="83"/>
        <v/>
      </c>
      <c r="AP75" s="41" t="str">
        <f t="shared" si="83"/>
        <v/>
      </c>
      <c r="AQ75" s="42" t="str">
        <f t="shared" si="83"/>
        <v/>
      </c>
      <c r="AR75" s="40" t="str">
        <f t="shared" si="83"/>
        <v/>
      </c>
      <c r="AS75" s="41" t="str">
        <f t="shared" si="83"/>
        <v/>
      </c>
      <c r="AT75" s="41" t="str">
        <f t="shared" si="83"/>
        <v/>
      </c>
      <c r="AU75" s="42" t="str">
        <f t="shared" si="84"/>
        <v/>
      </c>
      <c r="AV75" s="40" t="str">
        <f t="shared" si="84"/>
        <v/>
      </c>
      <c r="AW75" s="41" t="str">
        <f t="shared" si="84"/>
        <v/>
      </c>
      <c r="AX75" s="41" t="str">
        <f t="shared" si="84"/>
        <v/>
      </c>
      <c r="AY75" s="41" t="str">
        <f t="shared" si="84"/>
        <v/>
      </c>
      <c r="AZ75" s="42" t="str">
        <f t="shared" si="84"/>
        <v/>
      </c>
      <c r="BA75" s="42" t="str">
        <f t="shared" si="84"/>
        <v/>
      </c>
      <c r="BB75" s="42" t="str">
        <f t="shared" si="84"/>
        <v/>
      </c>
      <c r="BC75" s="42" t="str">
        <f t="shared" si="84"/>
        <v/>
      </c>
      <c r="BD75" s="42" t="str">
        <f t="shared" si="84"/>
        <v/>
      </c>
      <c r="BE75" s="42" t="str">
        <f t="shared" si="85"/>
        <v/>
      </c>
      <c r="BF75" s="42" t="str">
        <f t="shared" si="85"/>
        <v/>
      </c>
      <c r="BG75" s="42" t="str">
        <f t="shared" si="85"/>
        <v/>
      </c>
      <c r="BH75" s="42" t="str">
        <f t="shared" si="85"/>
        <v/>
      </c>
      <c r="BI75" s="42" t="str">
        <f t="shared" si="85"/>
        <v/>
      </c>
      <c r="BJ75" s="42" t="str">
        <f t="shared" si="85"/>
        <v/>
      </c>
      <c r="BK75" s="42" t="str">
        <f t="shared" si="85"/>
        <v/>
      </c>
      <c r="BL75" s="42" t="str">
        <f t="shared" si="85"/>
        <v/>
      </c>
      <c r="BM75" s="42" t="str">
        <f t="shared" si="85"/>
        <v/>
      </c>
      <c r="BN75" s="42" t="str">
        <f t="shared" si="85"/>
        <v/>
      </c>
      <c r="BO75" s="42" t="str">
        <f t="shared" si="86"/>
        <v/>
      </c>
      <c r="BP75" s="42" t="str">
        <f t="shared" si="86"/>
        <v/>
      </c>
      <c r="BQ75" s="42" t="str">
        <f t="shared" si="86"/>
        <v/>
      </c>
      <c r="BR75" s="42" t="str">
        <f t="shared" si="86"/>
        <v/>
      </c>
      <c r="BS75" s="42" t="str">
        <f t="shared" si="86"/>
        <v/>
      </c>
      <c r="BT75" s="42" t="str">
        <f t="shared" si="86"/>
        <v/>
      </c>
      <c r="BU75" s="42" t="str">
        <f t="shared" si="86"/>
        <v/>
      </c>
      <c r="BV75" s="42" t="str">
        <f t="shared" si="86"/>
        <v/>
      </c>
      <c r="BW75" s="42" t="str">
        <f t="shared" si="86"/>
        <v/>
      </c>
      <c r="BX75" s="42" t="str">
        <f t="shared" si="86"/>
        <v/>
      </c>
      <c r="BY75" s="42" t="str">
        <f t="shared" si="87"/>
        <v/>
      </c>
      <c r="BZ75" s="42" t="str">
        <f t="shared" si="87"/>
        <v/>
      </c>
      <c r="CA75" s="42" t="str">
        <f t="shared" si="87"/>
        <v/>
      </c>
      <c r="CB75" s="42" t="str">
        <f t="shared" si="87"/>
        <v/>
      </c>
      <c r="CC75" s="42" t="str">
        <f t="shared" si="87"/>
        <v/>
      </c>
      <c r="CD75" s="42" t="str">
        <f t="shared" si="87"/>
        <v/>
      </c>
      <c r="CE75" s="42" t="str">
        <f t="shared" si="87"/>
        <v/>
      </c>
      <c r="CF75" s="42" t="str">
        <f t="shared" si="87"/>
        <v/>
      </c>
      <c r="CG75" s="42" t="str">
        <f t="shared" si="87"/>
        <v/>
      </c>
      <c r="CH75" s="42" t="str">
        <f t="shared" si="87"/>
        <v/>
      </c>
      <c r="CI75" s="42" t="str">
        <f t="shared" si="87"/>
        <v/>
      </c>
      <c r="CJ75" s="42" t="str">
        <f t="shared" si="87"/>
        <v/>
      </c>
      <c r="CK75" s="42" t="str">
        <f t="shared" si="87"/>
        <v/>
      </c>
    </row>
    <row r="76" spans="3:89" ht="18.75" customHeight="1" thickBot="1">
      <c r="C76" s="19"/>
      <c r="D76" s="9"/>
      <c r="E76" s="22"/>
      <c r="F76" s="20"/>
      <c r="G76" s="20"/>
      <c r="H76" s="20"/>
      <c r="I76" s="23"/>
      <c r="K76" s="24"/>
      <c r="L76" s="20"/>
      <c r="Q76" s="6"/>
      <c r="R76" s="11"/>
      <c r="S76" s="11"/>
      <c r="T76" s="17"/>
      <c r="U76" s="17"/>
      <c r="V76" s="17"/>
      <c r="W76" s="17"/>
      <c r="X76" s="17"/>
      <c r="Y76" s="17"/>
      <c r="Z76" s="33"/>
      <c r="AA76" s="40" t="str">
        <f t="shared" si="82"/>
        <v/>
      </c>
      <c r="AB76" s="41" t="str">
        <f t="shared" si="82"/>
        <v/>
      </c>
      <c r="AC76" s="41" t="str">
        <f t="shared" si="82"/>
        <v/>
      </c>
      <c r="AD76" s="42" t="str">
        <f t="shared" si="82"/>
        <v/>
      </c>
      <c r="AE76" s="40" t="str">
        <f t="shared" si="82"/>
        <v/>
      </c>
      <c r="AF76" s="41" t="str">
        <f t="shared" si="82"/>
        <v/>
      </c>
      <c r="AG76" s="41" t="str">
        <f t="shared" si="82"/>
        <v/>
      </c>
      <c r="AH76" s="42" t="str">
        <f t="shared" si="82"/>
        <v/>
      </c>
      <c r="AI76" s="40" t="str">
        <f t="shared" si="82"/>
        <v/>
      </c>
      <c r="AJ76" s="41" t="str">
        <f t="shared" si="82"/>
        <v/>
      </c>
      <c r="AK76" s="47" t="str">
        <f t="shared" si="83"/>
        <v/>
      </c>
      <c r="AL76" s="53" t="str">
        <f t="shared" si="83"/>
        <v/>
      </c>
      <c r="AM76" s="50" t="str">
        <f t="shared" si="83"/>
        <v/>
      </c>
      <c r="AN76" s="44" t="str">
        <f t="shared" si="83"/>
        <v/>
      </c>
      <c r="AO76" s="41" t="str">
        <f t="shared" si="83"/>
        <v/>
      </c>
      <c r="AP76" s="41" t="str">
        <f t="shared" si="83"/>
        <v/>
      </c>
      <c r="AQ76" s="42" t="str">
        <f t="shared" si="83"/>
        <v/>
      </c>
      <c r="AR76" s="40" t="str">
        <f t="shared" si="83"/>
        <v/>
      </c>
      <c r="AS76" s="41" t="str">
        <f t="shared" si="83"/>
        <v/>
      </c>
      <c r="AT76" s="41" t="str">
        <f t="shared" si="83"/>
        <v/>
      </c>
      <c r="AU76" s="42" t="str">
        <f t="shared" si="84"/>
        <v/>
      </c>
      <c r="AV76" s="40" t="str">
        <f t="shared" si="84"/>
        <v/>
      </c>
      <c r="AW76" s="41" t="str">
        <f t="shared" si="84"/>
        <v/>
      </c>
      <c r="AX76" s="41" t="str">
        <f t="shared" si="84"/>
        <v/>
      </c>
      <c r="AY76" s="41" t="str">
        <f t="shared" si="84"/>
        <v/>
      </c>
      <c r="AZ76" s="42" t="str">
        <f t="shared" si="84"/>
        <v/>
      </c>
      <c r="BA76" s="42" t="str">
        <f t="shared" si="84"/>
        <v/>
      </c>
      <c r="BB76" s="42" t="str">
        <f t="shared" si="84"/>
        <v/>
      </c>
      <c r="BC76" s="42" t="str">
        <f t="shared" si="84"/>
        <v/>
      </c>
      <c r="BD76" s="42" t="str">
        <f t="shared" si="84"/>
        <v/>
      </c>
      <c r="BE76" s="42" t="str">
        <f t="shared" si="85"/>
        <v/>
      </c>
      <c r="BF76" s="42" t="str">
        <f t="shared" si="85"/>
        <v/>
      </c>
      <c r="BG76" s="42" t="str">
        <f t="shared" si="85"/>
        <v/>
      </c>
      <c r="BH76" s="42" t="str">
        <f t="shared" si="85"/>
        <v/>
      </c>
      <c r="BI76" s="42" t="str">
        <f t="shared" si="85"/>
        <v/>
      </c>
      <c r="BJ76" s="42" t="str">
        <f t="shared" si="85"/>
        <v/>
      </c>
      <c r="BK76" s="42" t="str">
        <f t="shared" si="85"/>
        <v/>
      </c>
      <c r="BL76" s="42" t="str">
        <f t="shared" si="85"/>
        <v/>
      </c>
      <c r="BM76" s="42" t="str">
        <f t="shared" si="85"/>
        <v/>
      </c>
      <c r="BN76" s="42" t="str">
        <f t="shared" si="85"/>
        <v/>
      </c>
      <c r="BO76" s="42" t="str">
        <f t="shared" si="86"/>
        <v/>
      </c>
      <c r="BP76" s="42" t="str">
        <f t="shared" si="86"/>
        <v/>
      </c>
      <c r="BQ76" s="42" t="str">
        <f t="shared" si="86"/>
        <v/>
      </c>
      <c r="BR76" s="42" t="str">
        <f t="shared" si="86"/>
        <v/>
      </c>
      <c r="BS76" s="42" t="str">
        <f t="shared" si="86"/>
        <v/>
      </c>
      <c r="BT76" s="42" t="str">
        <f t="shared" si="86"/>
        <v/>
      </c>
      <c r="BU76" s="42" t="str">
        <f t="shared" si="86"/>
        <v/>
      </c>
      <c r="BV76" s="42" t="str">
        <f t="shared" si="86"/>
        <v/>
      </c>
      <c r="BW76" s="42" t="str">
        <f t="shared" si="86"/>
        <v/>
      </c>
      <c r="BX76" s="42" t="str">
        <f t="shared" si="86"/>
        <v/>
      </c>
      <c r="BY76" s="42" t="str">
        <f t="shared" si="87"/>
        <v/>
      </c>
      <c r="BZ76" s="42" t="str">
        <f t="shared" si="87"/>
        <v/>
      </c>
      <c r="CA76" s="42" t="str">
        <f t="shared" si="87"/>
        <v/>
      </c>
      <c r="CB76" s="42" t="str">
        <f t="shared" si="87"/>
        <v/>
      </c>
      <c r="CC76" s="42" t="str">
        <f t="shared" si="87"/>
        <v/>
      </c>
      <c r="CD76" s="42" t="str">
        <f t="shared" si="87"/>
        <v/>
      </c>
      <c r="CE76" s="42" t="str">
        <f t="shared" si="87"/>
        <v/>
      </c>
      <c r="CF76" s="42" t="str">
        <f t="shared" si="87"/>
        <v/>
      </c>
      <c r="CG76" s="42" t="str">
        <f t="shared" si="87"/>
        <v/>
      </c>
      <c r="CH76" s="42" t="str">
        <f t="shared" si="87"/>
        <v/>
      </c>
      <c r="CI76" s="42" t="str">
        <f t="shared" si="87"/>
        <v/>
      </c>
      <c r="CJ76" s="42" t="str">
        <f t="shared" si="87"/>
        <v/>
      </c>
      <c r="CK76" s="42" t="str">
        <f t="shared" si="87"/>
        <v/>
      </c>
    </row>
    <row r="77" spans="3:89" ht="18.75" customHeight="1" thickBot="1">
      <c r="C77" s="19"/>
      <c r="D77" s="9"/>
      <c r="E77" s="22"/>
      <c r="F77" s="20"/>
      <c r="G77" s="20"/>
      <c r="H77" s="20"/>
      <c r="I77" s="23"/>
      <c r="K77" s="24"/>
      <c r="L77" s="20"/>
      <c r="Q77" s="6"/>
      <c r="R77" s="11"/>
      <c r="S77" s="11"/>
      <c r="T77" s="17"/>
      <c r="U77" s="17"/>
      <c r="V77" s="17"/>
      <c r="W77" s="17"/>
      <c r="X77" s="17"/>
      <c r="Y77" s="17"/>
      <c r="Z77" s="33"/>
      <c r="AA77" s="40" t="str">
        <f t="shared" si="82"/>
        <v/>
      </c>
      <c r="AB77" s="41" t="str">
        <f t="shared" si="82"/>
        <v/>
      </c>
      <c r="AC77" s="41" t="str">
        <f t="shared" si="82"/>
        <v/>
      </c>
      <c r="AD77" s="42" t="str">
        <f t="shared" si="82"/>
        <v/>
      </c>
      <c r="AE77" s="40" t="str">
        <f t="shared" si="82"/>
        <v/>
      </c>
      <c r="AF77" s="41" t="str">
        <f t="shared" si="82"/>
        <v/>
      </c>
      <c r="AG77" s="41" t="str">
        <f t="shared" si="82"/>
        <v/>
      </c>
      <c r="AH77" s="42" t="str">
        <f t="shared" si="82"/>
        <v/>
      </c>
      <c r="AI77" s="40" t="str">
        <f t="shared" si="82"/>
        <v/>
      </c>
      <c r="AJ77" s="41" t="str">
        <f t="shared" si="82"/>
        <v/>
      </c>
      <c r="AK77" s="47" t="str">
        <f t="shared" si="83"/>
        <v/>
      </c>
      <c r="AL77" s="53" t="str">
        <f t="shared" si="83"/>
        <v/>
      </c>
      <c r="AM77" s="50" t="str">
        <f t="shared" si="83"/>
        <v/>
      </c>
      <c r="AN77" s="44" t="str">
        <f t="shared" si="83"/>
        <v/>
      </c>
      <c r="AO77" s="41" t="str">
        <f t="shared" si="83"/>
        <v/>
      </c>
      <c r="AP77" s="41" t="str">
        <f t="shared" si="83"/>
        <v/>
      </c>
      <c r="AQ77" s="42" t="str">
        <f t="shared" si="83"/>
        <v/>
      </c>
      <c r="AR77" s="40" t="str">
        <f t="shared" si="83"/>
        <v/>
      </c>
      <c r="AS77" s="41" t="str">
        <f t="shared" si="83"/>
        <v/>
      </c>
      <c r="AT77" s="41" t="str">
        <f t="shared" si="83"/>
        <v/>
      </c>
      <c r="AU77" s="42" t="str">
        <f t="shared" si="84"/>
        <v/>
      </c>
      <c r="AV77" s="40" t="str">
        <f t="shared" si="84"/>
        <v/>
      </c>
      <c r="AW77" s="41" t="str">
        <f t="shared" si="84"/>
        <v/>
      </c>
      <c r="AX77" s="41" t="str">
        <f t="shared" si="84"/>
        <v/>
      </c>
      <c r="AY77" s="41" t="str">
        <f t="shared" si="84"/>
        <v/>
      </c>
      <c r="AZ77" s="42" t="str">
        <f t="shared" si="84"/>
        <v/>
      </c>
      <c r="BA77" s="42" t="str">
        <f t="shared" si="84"/>
        <v/>
      </c>
      <c r="BB77" s="42" t="str">
        <f t="shared" si="84"/>
        <v/>
      </c>
      <c r="BC77" s="42" t="str">
        <f t="shared" si="84"/>
        <v/>
      </c>
      <c r="BD77" s="42" t="str">
        <f t="shared" si="84"/>
        <v/>
      </c>
      <c r="BE77" s="42" t="str">
        <f t="shared" si="85"/>
        <v/>
      </c>
      <c r="BF77" s="42" t="str">
        <f t="shared" si="85"/>
        <v/>
      </c>
      <c r="BG77" s="42" t="str">
        <f t="shared" si="85"/>
        <v/>
      </c>
      <c r="BH77" s="42" t="str">
        <f t="shared" si="85"/>
        <v/>
      </c>
      <c r="BI77" s="42" t="str">
        <f t="shared" si="85"/>
        <v/>
      </c>
      <c r="BJ77" s="42" t="str">
        <f t="shared" si="85"/>
        <v/>
      </c>
      <c r="BK77" s="42" t="str">
        <f t="shared" si="85"/>
        <v/>
      </c>
      <c r="BL77" s="42" t="str">
        <f t="shared" si="85"/>
        <v/>
      </c>
      <c r="BM77" s="42" t="str">
        <f t="shared" si="85"/>
        <v/>
      </c>
      <c r="BN77" s="42" t="str">
        <f t="shared" si="85"/>
        <v/>
      </c>
      <c r="BO77" s="42" t="str">
        <f t="shared" si="86"/>
        <v/>
      </c>
      <c r="BP77" s="42" t="str">
        <f t="shared" si="86"/>
        <v/>
      </c>
      <c r="BQ77" s="42" t="str">
        <f t="shared" si="86"/>
        <v/>
      </c>
      <c r="BR77" s="42" t="str">
        <f t="shared" si="86"/>
        <v/>
      </c>
      <c r="BS77" s="42" t="str">
        <f t="shared" si="86"/>
        <v/>
      </c>
      <c r="BT77" s="42" t="str">
        <f t="shared" si="86"/>
        <v/>
      </c>
      <c r="BU77" s="42" t="str">
        <f t="shared" si="86"/>
        <v/>
      </c>
      <c r="BV77" s="42" t="str">
        <f t="shared" si="86"/>
        <v/>
      </c>
      <c r="BW77" s="42" t="str">
        <f t="shared" si="86"/>
        <v/>
      </c>
      <c r="BX77" s="42" t="str">
        <f t="shared" si="86"/>
        <v/>
      </c>
      <c r="BY77" s="42" t="str">
        <f t="shared" si="87"/>
        <v/>
      </c>
      <c r="BZ77" s="42" t="str">
        <f t="shared" si="87"/>
        <v/>
      </c>
      <c r="CA77" s="42" t="str">
        <f t="shared" si="87"/>
        <v/>
      </c>
      <c r="CB77" s="42" t="str">
        <f t="shared" si="87"/>
        <v/>
      </c>
      <c r="CC77" s="42" t="str">
        <f t="shared" si="87"/>
        <v/>
      </c>
      <c r="CD77" s="42" t="str">
        <f t="shared" si="87"/>
        <v/>
      </c>
      <c r="CE77" s="42" t="str">
        <f t="shared" si="87"/>
        <v/>
      </c>
      <c r="CF77" s="42" t="str">
        <f t="shared" si="87"/>
        <v/>
      </c>
      <c r="CG77" s="42" t="str">
        <f t="shared" si="87"/>
        <v/>
      </c>
      <c r="CH77" s="42" t="str">
        <f t="shared" si="87"/>
        <v/>
      </c>
      <c r="CI77" s="42" t="str">
        <f t="shared" si="87"/>
        <v/>
      </c>
      <c r="CJ77" s="42" t="str">
        <f t="shared" si="87"/>
        <v/>
      </c>
      <c r="CK77" s="42" t="str">
        <f t="shared" si="87"/>
        <v/>
      </c>
    </row>
    <row r="78" spans="3:89" ht="18.75" customHeight="1" thickBot="1">
      <c r="C78" s="19"/>
      <c r="D78" s="9"/>
      <c r="E78" s="22"/>
      <c r="F78" s="20"/>
      <c r="G78" s="20"/>
      <c r="H78" s="20"/>
      <c r="I78" s="23"/>
      <c r="K78" s="24"/>
      <c r="L78" s="20"/>
      <c r="Q78" s="6"/>
      <c r="R78" s="11"/>
      <c r="S78" s="11"/>
      <c r="T78" s="17"/>
      <c r="U78" s="17"/>
      <c r="V78" s="17"/>
      <c r="W78" s="17"/>
      <c r="X78" s="17"/>
      <c r="Y78" s="17"/>
      <c r="Z78" s="33"/>
      <c r="AA78" s="40" t="str">
        <f t="shared" si="82"/>
        <v/>
      </c>
      <c r="AB78" s="41" t="str">
        <f t="shared" si="82"/>
        <v/>
      </c>
      <c r="AC78" s="41" t="str">
        <f t="shared" si="82"/>
        <v/>
      </c>
      <c r="AD78" s="42" t="str">
        <f t="shared" si="82"/>
        <v/>
      </c>
      <c r="AE78" s="40" t="str">
        <f t="shared" si="82"/>
        <v/>
      </c>
      <c r="AF78" s="41" t="str">
        <f t="shared" si="82"/>
        <v/>
      </c>
      <c r="AG78" s="41" t="str">
        <f t="shared" si="82"/>
        <v/>
      </c>
      <c r="AH78" s="42" t="str">
        <f t="shared" si="82"/>
        <v/>
      </c>
      <c r="AI78" s="40" t="str">
        <f t="shared" si="82"/>
        <v/>
      </c>
      <c r="AJ78" s="41" t="str">
        <f t="shared" si="82"/>
        <v/>
      </c>
      <c r="AK78" s="47" t="str">
        <f t="shared" si="83"/>
        <v/>
      </c>
      <c r="AL78" s="53" t="str">
        <f t="shared" si="83"/>
        <v/>
      </c>
      <c r="AM78" s="50" t="str">
        <f t="shared" si="83"/>
        <v/>
      </c>
      <c r="AN78" s="44" t="str">
        <f t="shared" si="83"/>
        <v/>
      </c>
      <c r="AO78" s="41" t="str">
        <f t="shared" si="83"/>
        <v/>
      </c>
      <c r="AP78" s="41" t="str">
        <f t="shared" si="83"/>
        <v/>
      </c>
      <c r="AQ78" s="42" t="str">
        <f t="shared" si="83"/>
        <v/>
      </c>
      <c r="AR78" s="40" t="str">
        <f t="shared" si="83"/>
        <v/>
      </c>
      <c r="AS78" s="41" t="str">
        <f t="shared" si="83"/>
        <v/>
      </c>
      <c r="AT78" s="41" t="str">
        <f t="shared" si="83"/>
        <v/>
      </c>
      <c r="AU78" s="42" t="str">
        <f t="shared" si="84"/>
        <v/>
      </c>
      <c r="AV78" s="40" t="str">
        <f t="shared" si="84"/>
        <v/>
      </c>
      <c r="AW78" s="41" t="str">
        <f t="shared" si="84"/>
        <v/>
      </c>
      <c r="AX78" s="41" t="str">
        <f t="shared" si="84"/>
        <v/>
      </c>
      <c r="AY78" s="41" t="str">
        <f t="shared" si="84"/>
        <v/>
      </c>
      <c r="AZ78" s="42" t="str">
        <f t="shared" si="84"/>
        <v/>
      </c>
      <c r="BA78" s="42" t="str">
        <f t="shared" si="84"/>
        <v/>
      </c>
      <c r="BB78" s="42" t="str">
        <f t="shared" si="84"/>
        <v/>
      </c>
      <c r="BC78" s="42" t="str">
        <f t="shared" si="84"/>
        <v/>
      </c>
      <c r="BD78" s="42" t="str">
        <f t="shared" si="84"/>
        <v/>
      </c>
      <c r="BE78" s="42" t="str">
        <f t="shared" si="85"/>
        <v/>
      </c>
      <c r="BF78" s="42" t="str">
        <f t="shared" si="85"/>
        <v/>
      </c>
      <c r="BG78" s="42" t="str">
        <f t="shared" si="85"/>
        <v/>
      </c>
      <c r="BH78" s="42" t="str">
        <f t="shared" si="85"/>
        <v/>
      </c>
      <c r="BI78" s="42" t="str">
        <f t="shared" si="85"/>
        <v/>
      </c>
      <c r="BJ78" s="42" t="str">
        <f t="shared" si="85"/>
        <v/>
      </c>
      <c r="BK78" s="42" t="str">
        <f t="shared" si="85"/>
        <v/>
      </c>
      <c r="BL78" s="42" t="str">
        <f t="shared" si="85"/>
        <v/>
      </c>
      <c r="BM78" s="42" t="str">
        <f t="shared" si="85"/>
        <v/>
      </c>
      <c r="BN78" s="42" t="str">
        <f t="shared" si="85"/>
        <v/>
      </c>
      <c r="BO78" s="42" t="str">
        <f t="shared" si="86"/>
        <v/>
      </c>
      <c r="BP78" s="42" t="str">
        <f t="shared" si="86"/>
        <v/>
      </c>
      <c r="BQ78" s="42" t="str">
        <f t="shared" si="86"/>
        <v/>
      </c>
      <c r="BR78" s="42" t="str">
        <f t="shared" si="86"/>
        <v/>
      </c>
      <c r="BS78" s="42" t="str">
        <f t="shared" si="86"/>
        <v/>
      </c>
      <c r="BT78" s="42" t="str">
        <f t="shared" si="86"/>
        <v/>
      </c>
      <c r="BU78" s="42" t="str">
        <f t="shared" si="86"/>
        <v/>
      </c>
      <c r="BV78" s="42" t="str">
        <f t="shared" si="86"/>
        <v/>
      </c>
      <c r="BW78" s="42" t="str">
        <f t="shared" si="86"/>
        <v/>
      </c>
      <c r="BX78" s="42" t="str">
        <f t="shared" si="86"/>
        <v/>
      </c>
      <c r="BY78" s="42" t="str">
        <f t="shared" si="87"/>
        <v/>
      </c>
      <c r="BZ78" s="42" t="str">
        <f t="shared" si="87"/>
        <v/>
      </c>
      <c r="CA78" s="42" t="str">
        <f t="shared" si="87"/>
        <v/>
      </c>
      <c r="CB78" s="42" t="str">
        <f t="shared" si="87"/>
        <v/>
      </c>
      <c r="CC78" s="42" t="str">
        <f t="shared" si="87"/>
        <v/>
      </c>
      <c r="CD78" s="42" t="str">
        <f t="shared" si="87"/>
        <v/>
      </c>
      <c r="CE78" s="42" t="str">
        <f t="shared" si="87"/>
        <v/>
      </c>
      <c r="CF78" s="42" t="str">
        <f t="shared" si="87"/>
        <v/>
      </c>
      <c r="CG78" s="42" t="str">
        <f t="shared" si="87"/>
        <v/>
      </c>
      <c r="CH78" s="42" t="str">
        <f t="shared" si="87"/>
        <v/>
      </c>
      <c r="CI78" s="42" t="str">
        <f t="shared" si="87"/>
        <v/>
      </c>
      <c r="CJ78" s="42" t="str">
        <f t="shared" si="87"/>
        <v/>
      </c>
      <c r="CK78" s="42" t="str">
        <f t="shared" si="87"/>
        <v/>
      </c>
    </row>
    <row r="79" spans="3:89" ht="18.75" customHeight="1" thickBot="1">
      <c r="C79" s="19"/>
      <c r="D79" s="9"/>
      <c r="E79" s="22"/>
      <c r="F79" s="20"/>
      <c r="G79" s="20"/>
      <c r="H79" s="20"/>
      <c r="I79" s="23"/>
      <c r="K79" s="24"/>
      <c r="L79" s="20"/>
      <c r="Q79" s="6"/>
      <c r="R79" s="11"/>
      <c r="S79" s="11"/>
      <c r="T79" s="17"/>
      <c r="U79" s="17"/>
      <c r="V79" s="17"/>
      <c r="W79" s="17"/>
      <c r="X79" s="17"/>
      <c r="Y79" s="17"/>
      <c r="Z79" s="33"/>
      <c r="AA79" s="40" t="str">
        <f t="shared" si="82"/>
        <v/>
      </c>
      <c r="AB79" s="41" t="str">
        <f t="shared" si="82"/>
        <v/>
      </c>
      <c r="AC79" s="41" t="str">
        <f t="shared" si="82"/>
        <v/>
      </c>
      <c r="AD79" s="42" t="str">
        <f t="shared" si="82"/>
        <v/>
      </c>
      <c r="AE79" s="40" t="str">
        <f t="shared" si="82"/>
        <v/>
      </c>
      <c r="AF79" s="41" t="str">
        <f t="shared" si="82"/>
        <v/>
      </c>
      <c r="AG79" s="41" t="str">
        <f t="shared" si="82"/>
        <v/>
      </c>
      <c r="AH79" s="42" t="str">
        <f t="shared" si="82"/>
        <v/>
      </c>
      <c r="AI79" s="40" t="str">
        <f t="shared" si="82"/>
        <v/>
      </c>
      <c r="AJ79" s="41" t="str">
        <f t="shared" si="82"/>
        <v/>
      </c>
      <c r="AK79" s="47" t="str">
        <f t="shared" si="83"/>
        <v/>
      </c>
      <c r="AL79" s="53" t="str">
        <f t="shared" si="83"/>
        <v/>
      </c>
      <c r="AM79" s="50" t="str">
        <f t="shared" si="83"/>
        <v/>
      </c>
      <c r="AN79" s="44" t="str">
        <f t="shared" si="83"/>
        <v/>
      </c>
      <c r="AO79" s="41" t="str">
        <f t="shared" si="83"/>
        <v/>
      </c>
      <c r="AP79" s="41" t="str">
        <f t="shared" si="83"/>
        <v/>
      </c>
      <c r="AQ79" s="42" t="str">
        <f t="shared" si="83"/>
        <v/>
      </c>
      <c r="AR79" s="40" t="str">
        <f t="shared" si="83"/>
        <v/>
      </c>
      <c r="AS79" s="41" t="str">
        <f t="shared" si="83"/>
        <v/>
      </c>
      <c r="AT79" s="41" t="str">
        <f t="shared" si="83"/>
        <v/>
      </c>
      <c r="AU79" s="42" t="str">
        <f t="shared" si="84"/>
        <v/>
      </c>
      <c r="AV79" s="40" t="str">
        <f t="shared" si="84"/>
        <v/>
      </c>
      <c r="AW79" s="41" t="str">
        <f t="shared" si="84"/>
        <v/>
      </c>
      <c r="AX79" s="41" t="str">
        <f t="shared" si="84"/>
        <v/>
      </c>
      <c r="AY79" s="41" t="str">
        <f t="shared" si="84"/>
        <v/>
      </c>
      <c r="AZ79" s="42" t="str">
        <f t="shared" si="84"/>
        <v/>
      </c>
      <c r="BA79" s="42" t="str">
        <f t="shared" si="84"/>
        <v/>
      </c>
      <c r="BB79" s="42" t="str">
        <f t="shared" si="84"/>
        <v/>
      </c>
      <c r="BC79" s="42" t="str">
        <f t="shared" si="84"/>
        <v/>
      </c>
      <c r="BD79" s="42" t="str">
        <f t="shared" si="84"/>
        <v/>
      </c>
      <c r="BE79" s="42" t="str">
        <f t="shared" si="85"/>
        <v/>
      </c>
      <c r="BF79" s="42" t="str">
        <f t="shared" si="85"/>
        <v/>
      </c>
      <c r="BG79" s="42" t="str">
        <f t="shared" si="85"/>
        <v/>
      </c>
      <c r="BH79" s="42" t="str">
        <f t="shared" si="85"/>
        <v/>
      </c>
      <c r="BI79" s="42" t="str">
        <f t="shared" si="85"/>
        <v/>
      </c>
      <c r="BJ79" s="42" t="str">
        <f t="shared" si="85"/>
        <v/>
      </c>
      <c r="BK79" s="42" t="str">
        <f t="shared" si="85"/>
        <v/>
      </c>
      <c r="BL79" s="42" t="str">
        <f t="shared" si="85"/>
        <v/>
      </c>
      <c r="BM79" s="42" t="str">
        <f t="shared" si="85"/>
        <v/>
      </c>
      <c r="BN79" s="42" t="str">
        <f t="shared" si="85"/>
        <v/>
      </c>
      <c r="BO79" s="42" t="str">
        <f t="shared" si="86"/>
        <v/>
      </c>
      <c r="BP79" s="42" t="str">
        <f t="shared" si="86"/>
        <v/>
      </c>
      <c r="BQ79" s="42" t="str">
        <f t="shared" si="86"/>
        <v/>
      </c>
      <c r="BR79" s="42" t="str">
        <f t="shared" si="86"/>
        <v/>
      </c>
      <c r="BS79" s="42" t="str">
        <f t="shared" si="86"/>
        <v/>
      </c>
      <c r="BT79" s="42" t="str">
        <f t="shared" si="86"/>
        <v/>
      </c>
      <c r="BU79" s="42" t="str">
        <f t="shared" si="86"/>
        <v/>
      </c>
      <c r="BV79" s="42" t="str">
        <f t="shared" si="86"/>
        <v/>
      </c>
      <c r="BW79" s="42" t="str">
        <f t="shared" si="86"/>
        <v/>
      </c>
      <c r="BX79" s="42" t="str">
        <f t="shared" si="86"/>
        <v/>
      </c>
      <c r="BY79" s="42" t="str">
        <f t="shared" si="87"/>
        <v/>
      </c>
      <c r="BZ79" s="42" t="str">
        <f t="shared" si="87"/>
        <v/>
      </c>
      <c r="CA79" s="42" t="str">
        <f t="shared" si="87"/>
        <v/>
      </c>
      <c r="CB79" s="42" t="str">
        <f t="shared" si="87"/>
        <v/>
      </c>
      <c r="CC79" s="42" t="str">
        <f t="shared" si="87"/>
        <v/>
      </c>
      <c r="CD79" s="42" t="str">
        <f t="shared" si="87"/>
        <v/>
      </c>
      <c r="CE79" s="42" t="str">
        <f t="shared" si="87"/>
        <v/>
      </c>
      <c r="CF79" s="42" t="str">
        <f t="shared" si="87"/>
        <v/>
      </c>
      <c r="CG79" s="42" t="str">
        <f t="shared" si="87"/>
        <v/>
      </c>
      <c r="CH79" s="42" t="str">
        <f t="shared" si="87"/>
        <v/>
      </c>
      <c r="CI79" s="42" t="str">
        <f t="shared" si="87"/>
        <v/>
      </c>
      <c r="CJ79" s="42" t="str">
        <f t="shared" si="87"/>
        <v/>
      </c>
      <c r="CK79" s="42" t="str">
        <f t="shared" si="87"/>
        <v/>
      </c>
    </row>
    <row r="80" spans="3:89" ht="18.75" customHeight="1" thickBot="1">
      <c r="C80" s="19"/>
      <c r="D80" s="9"/>
      <c r="E80" s="22"/>
      <c r="F80" s="20"/>
      <c r="G80" s="20"/>
      <c r="H80" s="20"/>
      <c r="I80" s="23"/>
      <c r="K80" s="24"/>
      <c r="L80" s="20"/>
      <c r="Q80" s="6"/>
      <c r="R80" s="11"/>
      <c r="S80" s="11"/>
      <c r="T80" s="17"/>
      <c r="U80" s="17"/>
      <c r="V80" s="17"/>
      <c r="W80" s="17"/>
      <c r="X80" s="17"/>
      <c r="Y80" s="17"/>
      <c r="Z80" s="33"/>
      <c r="AA80" s="40" t="str">
        <f t="shared" si="82"/>
        <v/>
      </c>
      <c r="AB80" s="41" t="str">
        <f t="shared" si="82"/>
        <v/>
      </c>
      <c r="AC80" s="41" t="str">
        <f t="shared" si="82"/>
        <v/>
      </c>
      <c r="AD80" s="42" t="str">
        <f t="shared" si="82"/>
        <v/>
      </c>
      <c r="AE80" s="40" t="str">
        <f t="shared" si="82"/>
        <v/>
      </c>
      <c r="AF80" s="41" t="str">
        <f t="shared" si="82"/>
        <v/>
      </c>
      <c r="AG80" s="41" t="str">
        <f t="shared" si="82"/>
        <v/>
      </c>
      <c r="AH80" s="42" t="str">
        <f t="shared" si="82"/>
        <v/>
      </c>
      <c r="AI80" s="40" t="str">
        <f t="shared" si="82"/>
        <v/>
      </c>
      <c r="AJ80" s="41" t="str">
        <f t="shared" si="82"/>
        <v/>
      </c>
      <c r="AK80" s="47" t="str">
        <f t="shared" si="83"/>
        <v/>
      </c>
      <c r="AL80" s="53" t="str">
        <f t="shared" si="83"/>
        <v/>
      </c>
      <c r="AM80" s="50" t="str">
        <f t="shared" si="83"/>
        <v/>
      </c>
      <c r="AN80" s="44" t="str">
        <f t="shared" si="83"/>
        <v/>
      </c>
      <c r="AO80" s="41" t="str">
        <f t="shared" si="83"/>
        <v/>
      </c>
      <c r="AP80" s="41" t="str">
        <f t="shared" si="83"/>
        <v/>
      </c>
      <c r="AQ80" s="42" t="str">
        <f t="shared" si="83"/>
        <v/>
      </c>
      <c r="AR80" s="40" t="str">
        <f t="shared" si="83"/>
        <v/>
      </c>
      <c r="AS80" s="41" t="str">
        <f t="shared" si="83"/>
        <v/>
      </c>
      <c r="AT80" s="41" t="str">
        <f t="shared" si="83"/>
        <v/>
      </c>
      <c r="AU80" s="42" t="str">
        <f t="shared" si="84"/>
        <v/>
      </c>
      <c r="AV80" s="40" t="str">
        <f t="shared" si="84"/>
        <v/>
      </c>
      <c r="AW80" s="41" t="str">
        <f t="shared" si="84"/>
        <v/>
      </c>
      <c r="AX80" s="41" t="str">
        <f t="shared" si="84"/>
        <v/>
      </c>
      <c r="AY80" s="41" t="str">
        <f t="shared" si="84"/>
        <v/>
      </c>
      <c r="AZ80" s="42" t="str">
        <f t="shared" si="84"/>
        <v/>
      </c>
      <c r="BA80" s="42" t="str">
        <f t="shared" si="84"/>
        <v/>
      </c>
      <c r="BB80" s="42" t="str">
        <f t="shared" si="84"/>
        <v/>
      </c>
      <c r="BC80" s="42" t="str">
        <f t="shared" si="84"/>
        <v/>
      </c>
      <c r="BD80" s="42" t="str">
        <f t="shared" si="84"/>
        <v/>
      </c>
      <c r="BE80" s="42" t="str">
        <f t="shared" si="85"/>
        <v/>
      </c>
      <c r="BF80" s="42" t="str">
        <f t="shared" si="85"/>
        <v/>
      </c>
      <c r="BG80" s="42" t="str">
        <f t="shared" si="85"/>
        <v/>
      </c>
      <c r="BH80" s="42" t="str">
        <f t="shared" si="85"/>
        <v/>
      </c>
      <c r="BI80" s="42" t="str">
        <f t="shared" si="85"/>
        <v/>
      </c>
      <c r="BJ80" s="42" t="str">
        <f t="shared" si="85"/>
        <v/>
      </c>
      <c r="BK80" s="42" t="str">
        <f t="shared" si="85"/>
        <v/>
      </c>
      <c r="BL80" s="42" t="str">
        <f t="shared" si="85"/>
        <v/>
      </c>
      <c r="BM80" s="42" t="str">
        <f t="shared" si="85"/>
        <v/>
      </c>
      <c r="BN80" s="42" t="str">
        <f t="shared" si="85"/>
        <v/>
      </c>
      <c r="BO80" s="42" t="str">
        <f t="shared" si="86"/>
        <v/>
      </c>
      <c r="BP80" s="42" t="str">
        <f t="shared" si="86"/>
        <v/>
      </c>
      <c r="BQ80" s="42" t="str">
        <f t="shared" si="86"/>
        <v/>
      </c>
      <c r="BR80" s="42" t="str">
        <f t="shared" si="86"/>
        <v/>
      </c>
      <c r="BS80" s="42" t="str">
        <f t="shared" si="86"/>
        <v/>
      </c>
      <c r="BT80" s="42" t="str">
        <f t="shared" si="86"/>
        <v/>
      </c>
      <c r="BU80" s="42" t="str">
        <f t="shared" si="86"/>
        <v/>
      </c>
      <c r="BV80" s="42" t="str">
        <f t="shared" si="86"/>
        <v/>
      </c>
      <c r="BW80" s="42" t="str">
        <f t="shared" si="86"/>
        <v/>
      </c>
      <c r="BX80" s="42" t="str">
        <f t="shared" si="86"/>
        <v/>
      </c>
      <c r="BY80" s="42" t="str">
        <f t="shared" si="87"/>
        <v/>
      </c>
      <c r="BZ80" s="42" t="str">
        <f t="shared" si="87"/>
        <v/>
      </c>
      <c r="CA80" s="42" t="str">
        <f t="shared" si="87"/>
        <v/>
      </c>
      <c r="CB80" s="42" t="str">
        <f t="shared" si="87"/>
        <v/>
      </c>
      <c r="CC80" s="42" t="str">
        <f t="shared" si="87"/>
        <v/>
      </c>
      <c r="CD80" s="42" t="str">
        <f t="shared" si="87"/>
        <v/>
      </c>
      <c r="CE80" s="42" t="str">
        <f t="shared" si="87"/>
        <v/>
      </c>
      <c r="CF80" s="42" t="str">
        <f t="shared" si="87"/>
        <v/>
      </c>
      <c r="CG80" s="42" t="str">
        <f t="shared" si="87"/>
        <v/>
      </c>
      <c r="CH80" s="42" t="str">
        <f t="shared" si="87"/>
        <v/>
      </c>
      <c r="CI80" s="42" t="str">
        <f t="shared" si="87"/>
        <v/>
      </c>
      <c r="CJ80" s="42" t="str">
        <f t="shared" si="87"/>
        <v/>
      </c>
      <c r="CK80" s="42" t="str">
        <f t="shared" si="87"/>
        <v/>
      </c>
    </row>
    <row r="81" spans="3:89" ht="18.75" customHeight="1" thickBot="1">
      <c r="C81" s="19"/>
      <c r="D81" s="9"/>
      <c r="E81" s="22"/>
      <c r="F81" s="20"/>
      <c r="G81" s="20"/>
      <c r="H81" s="20"/>
      <c r="I81" s="23"/>
      <c r="K81" s="24"/>
      <c r="L81" s="20"/>
      <c r="Q81" s="6"/>
      <c r="R81" s="11"/>
      <c r="S81" s="11"/>
      <c r="T81" s="17"/>
      <c r="U81" s="17"/>
      <c r="V81" s="17"/>
      <c r="W81" s="17"/>
      <c r="X81" s="17"/>
      <c r="Y81" s="17"/>
      <c r="Z81" s="33"/>
      <c r="AA81" s="40" t="str">
        <f t="shared" si="82"/>
        <v/>
      </c>
      <c r="AB81" s="41" t="str">
        <f t="shared" si="82"/>
        <v/>
      </c>
      <c r="AC81" s="41" t="str">
        <f t="shared" si="82"/>
        <v/>
      </c>
      <c r="AD81" s="42" t="str">
        <f t="shared" si="82"/>
        <v/>
      </c>
      <c r="AE81" s="40" t="str">
        <f t="shared" si="82"/>
        <v/>
      </c>
      <c r="AF81" s="41" t="str">
        <f t="shared" si="82"/>
        <v/>
      </c>
      <c r="AG81" s="41" t="str">
        <f t="shared" si="82"/>
        <v/>
      </c>
      <c r="AH81" s="42" t="str">
        <f t="shared" si="82"/>
        <v/>
      </c>
      <c r="AI81" s="40" t="str">
        <f t="shared" si="82"/>
        <v/>
      </c>
      <c r="AJ81" s="41" t="str">
        <f t="shared" si="82"/>
        <v/>
      </c>
      <c r="AK81" s="47" t="str">
        <f t="shared" si="83"/>
        <v/>
      </c>
      <c r="AL81" s="53" t="str">
        <f t="shared" si="83"/>
        <v/>
      </c>
      <c r="AM81" s="50" t="str">
        <f t="shared" si="83"/>
        <v/>
      </c>
      <c r="AN81" s="44" t="str">
        <f t="shared" si="83"/>
        <v/>
      </c>
      <c r="AO81" s="41" t="str">
        <f t="shared" si="83"/>
        <v/>
      </c>
      <c r="AP81" s="41" t="str">
        <f t="shared" si="83"/>
        <v/>
      </c>
      <c r="AQ81" s="42" t="str">
        <f t="shared" si="83"/>
        <v/>
      </c>
      <c r="AR81" s="40" t="str">
        <f t="shared" si="83"/>
        <v/>
      </c>
      <c r="AS81" s="41" t="str">
        <f t="shared" si="83"/>
        <v/>
      </c>
      <c r="AT81" s="41" t="str">
        <f t="shared" si="83"/>
        <v/>
      </c>
      <c r="AU81" s="42" t="str">
        <f t="shared" si="84"/>
        <v/>
      </c>
      <c r="AV81" s="40" t="str">
        <f t="shared" si="84"/>
        <v/>
      </c>
      <c r="AW81" s="41" t="str">
        <f t="shared" si="84"/>
        <v/>
      </c>
      <c r="AX81" s="41" t="str">
        <f t="shared" si="84"/>
        <v/>
      </c>
      <c r="AY81" s="41" t="str">
        <f t="shared" si="84"/>
        <v/>
      </c>
      <c r="AZ81" s="42" t="str">
        <f t="shared" si="84"/>
        <v/>
      </c>
      <c r="BA81" s="42" t="str">
        <f t="shared" si="84"/>
        <v/>
      </c>
      <c r="BB81" s="42" t="str">
        <f t="shared" si="84"/>
        <v/>
      </c>
      <c r="BC81" s="42" t="str">
        <f t="shared" si="84"/>
        <v/>
      </c>
      <c r="BD81" s="42" t="str">
        <f t="shared" si="84"/>
        <v/>
      </c>
      <c r="BE81" s="42" t="str">
        <f t="shared" si="85"/>
        <v/>
      </c>
      <c r="BF81" s="42" t="str">
        <f t="shared" si="85"/>
        <v/>
      </c>
      <c r="BG81" s="42" t="str">
        <f t="shared" si="85"/>
        <v/>
      </c>
      <c r="BH81" s="42" t="str">
        <f t="shared" si="85"/>
        <v/>
      </c>
      <c r="BI81" s="42" t="str">
        <f t="shared" si="85"/>
        <v/>
      </c>
      <c r="BJ81" s="42" t="str">
        <f t="shared" si="85"/>
        <v/>
      </c>
      <c r="BK81" s="42" t="str">
        <f t="shared" si="85"/>
        <v/>
      </c>
      <c r="BL81" s="42" t="str">
        <f t="shared" si="85"/>
        <v/>
      </c>
      <c r="BM81" s="42" t="str">
        <f t="shared" si="85"/>
        <v/>
      </c>
      <c r="BN81" s="42" t="str">
        <f t="shared" si="85"/>
        <v/>
      </c>
      <c r="BO81" s="42" t="str">
        <f t="shared" si="86"/>
        <v/>
      </c>
      <c r="BP81" s="42" t="str">
        <f t="shared" si="86"/>
        <v/>
      </c>
      <c r="BQ81" s="42" t="str">
        <f t="shared" si="86"/>
        <v/>
      </c>
      <c r="BR81" s="42" t="str">
        <f t="shared" si="86"/>
        <v/>
      </c>
      <c r="BS81" s="42" t="str">
        <f t="shared" si="86"/>
        <v/>
      </c>
      <c r="BT81" s="42" t="str">
        <f t="shared" si="86"/>
        <v/>
      </c>
      <c r="BU81" s="42" t="str">
        <f t="shared" si="86"/>
        <v/>
      </c>
      <c r="BV81" s="42" t="str">
        <f t="shared" si="86"/>
        <v/>
      </c>
      <c r="BW81" s="42" t="str">
        <f t="shared" si="86"/>
        <v/>
      </c>
      <c r="BX81" s="42" t="str">
        <f t="shared" si="86"/>
        <v/>
      </c>
      <c r="BY81" s="42" t="str">
        <f t="shared" si="87"/>
        <v/>
      </c>
      <c r="BZ81" s="42" t="str">
        <f t="shared" si="87"/>
        <v/>
      </c>
      <c r="CA81" s="42" t="str">
        <f t="shared" si="87"/>
        <v/>
      </c>
      <c r="CB81" s="42" t="str">
        <f t="shared" si="87"/>
        <v/>
      </c>
      <c r="CC81" s="42" t="str">
        <f t="shared" si="87"/>
        <v/>
      </c>
      <c r="CD81" s="42" t="str">
        <f t="shared" si="87"/>
        <v/>
      </c>
      <c r="CE81" s="42" t="str">
        <f t="shared" si="87"/>
        <v/>
      </c>
      <c r="CF81" s="42" t="str">
        <f t="shared" si="87"/>
        <v/>
      </c>
      <c r="CG81" s="42" t="str">
        <f t="shared" si="87"/>
        <v/>
      </c>
      <c r="CH81" s="42" t="str">
        <f t="shared" si="87"/>
        <v/>
      </c>
      <c r="CI81" s="42" t="str">
        <f t="shared" si="87"/>
        <v/>
      </c>
      <c r="CJ81" s="42" t="str">
        <f t="shared" si="87"/>
        <v/>
      </c>
      <c r="CK81" s="42" t="str">
        <f t="shared" si="87"/>
        <v/>
      </c>
    </row>
    <row r="82" spans="3:89" ht="18.75" customHeight="1" thickBot="1">
      <c r="C82" s="19"/>
      <c r="D82" s="9"/>
      <c r="E82" s="22"/>
      <c r="F82" s="20"/>
      <c r="G82" s="20"/>
      <c r="H82" s="20"/>
      <c r="I82" s="23"/>
      <c r="K82" s="24"/>
      <c r="L82" s="20"/>
      <c r="Q82" s="6"/>
      <c r="R82" s="11"/>
      <c r="S82" s="11"/>
      <c r="T82" s="17"/>
      <c r="U82" s="17"/>
      <c r="V82" s="17"/>
      <c r="W82" s="17"/>
      <c r="X82" s="17"/>
      <c r="Y82" s="17"/>
      <c r="Z82" s="33"/>
      <c r="AA82" s="40" t="str">
        <f t="shared" si="82"/>
        <v/>
      </c>
      <c r="AB82" s="41" t="str">
        <f t="shared" si="82"/>
        <v/>
      </c>
      <c r="AC82" s="41" t="str">
        <f t="shared" si="82"/>
        <v/>
      </c>
      <c r="AD82" s="42" t="str">
        <f t="shared" si="82"/>
        <v/>
      </c>
      <c r="AE82" s="40" t="str">
        <f t="shared" si="82"/>
        <v/>
      </c>
      <c r="AF82" s="41" t="str">
        <f t="shared" si="82"/>
        <v/>
      </c>
      <c r="AG82" s="41" t="str">
        <f t="shared" si="82"/>
        <v/>
      </c>
      <c r="AH82" s="42" t="str">
        <f t="shared" si="82"/>
        <v/>
      </c>
      <c r="AI82" s="40" t="str">
        <f t="shared" si="82"/>
        <v/>
      </c>
      <c r="AJ82" s="41" t="str">
        <f t="shared" si="82"/>
        <v/>
      </c>
      <c r="AK82" s="47" t="str">
        <f t="shared" si="83"/>
        <v/>
      </c>
      <c r="AL82" s="53" t="str">
        <f t="shared" si="83"/>
        <v/>
      </c>
      <c r="AM82" s="50" t="str">
        <f t="shared" si="83"/>
        <v/>
      </c>
      <c r="AN82" s="44" t="str">
        <f t="shared" si="83"/>
        <v/>
      </c>
      <c r="AO82" s="41" t="str">
        <f t="shared" si="83"/>
        <v/>
      </c>
      <c r="AP82" s="41" t="str">
        <f t="shared" si="83"/>
        <v/>
      </c>
      <c r="AQ82" s="42" t="str">
        <f t="shared" si="83"/>
        <v/>
      </c>
      <c r="AR82" s="40" t="str">
        <f t="shared" si="83"/>
        <v/>
      </c>
      <c r="AS82" s="41" t="str">
        <f t="shared" si="83"/>
        <v/>
      </c>
      <c r="AT82" s="41" t="str">
        <f t="shared" si="83"/>
        <v/>
      </c>
      <c r="AU82" s="42" t="str">
        <f t="shared" si="84"/>
        <v/>
      </c>
      <c r="AV82" s="40" t="str">
        <f t="shared" si="84"/>
        <v/>
      </c>
      <c r="AW82" s="41" t="str">
        <f t="shared" si="84"/>
        <v/>
      </c>
      <c r="AX82" s="41" t="str">
        <f t="shared" si="84"/>
        <v/>
      </c>
      <c r="AY82" s="41" t="str">
        <f t="shared" si="84"/>
        <v/>
      </c>
      <c r="AZ82" s="42" t="str">
        <f t="shared" si="84"/>
        <v/>
      </c>
      <c r="BA82" s="42" t="str">
        <f t="shared" si="84"/>
        <v/>
      </c>
      <c r="BB82" s="42" t="str">
        <f t="shared" si="84"/>
        <v/>
      </c>
      <c r="BC82" s="42" t="str">
        <f t="shared" si="84"/>
        <v/>
      </c>
      <c r="BD82" s="42" t="str">
        <f t="shared" si="84"/>
        <v/>
      </c>
      <c r="BE82" s="42" t="str">
        <f t="shared" si="85"/>
        <v/>
      </c>
      <c r="BF82" s="42" t="str">
        <f t="shared" si="85"/>
        <v/>
      </c>
      <c r="BG82" s="42" t="str">
        <f t="shared" si="85"/>
        <v/>
      </c>
      <c r="BH82" s="42" t="str">
        <f t="shared" si="85"/>
        <v/>
      </c>
      <c r="BI82" s="42" t="str">
        <f t="shared" si="85"/>
        <v/>
      </c>
      <c r="BJ82" s="42" t="str">
        <f t="shared" si="85"/>
        <v/>
      </c>
      <c r="BK82" s="42" t="str">
        <f t="shared" si="85"/>
        <v/>
      </c>
      <c r="BL82" s="42" t="str">
        <f t="shared" si="85"/>
        <v/>
      </c>
      <c r="BM82" s="42" t="str">
        <f t="shared" si="85"/>
        <v/>
      </c>
      <c r="BN82" s="42" t="str">
        <f t="shared" si="85"/>
        <v/>
      </c>
      <c r="BO82" s="42" t="str">
        <f t="shared" si="86"/>
        <v/>
      </c>
      <c r="BP82" s="42" t="str">
        <f t="shared" si="86"/>
        <v/>
      </c>
      <c r="BQ82" s="42" t="str">
        <f t="shared" si="86"/>
        <v/>
      </c>
      <c r="BR82" s="42" t="str">
        <f t="shared" si="86"/>
        <v/>
      </c>
      <c r="BS82" s="42" t="str">
        <f t="shared" si="86"/>
        <v/>
      </c>
      <c r="BT82" s="42" t="str">
        <f t="shared" si="86"/>
        <v/>
      </c>
      <c r="BU82" s="42" t="str">
        <f t="shared" si="86"/>
        <v/>
      </c>
      <c r="BV82" s="42" t="str">
        <f t="shared" si="86"/>
        <v/>
      </c>
      <c r="BW82" s="42" t="str">
        <f t="shared" si="86"/>
        <v/>
      </c>
      <c r="BX82" s="42" t="str">
        <f t="shared" si="86"/>
        <v/>
      </c>
      <c r="BY82" s="42" t="str">
        <f t="shared" si="87"/>
        <v/>
      </c>
      <c r="BZ82" s="42" t="str">
        <f t="shared" si="87"/>
        <v/>
      </c>
      <c r="CA82" s="42" t="str">
        <f t="shared" si="87"/>
        <v/>
      </c>
      <c r="CB82" s="42" t="str">
        <f t="shared" si="87"/>
        <v/>
      </c>
      <c r="CC82" s="42" t="str">
        <f t="shared" si="87"/>
        <v/>
      </c>
      <c r="CD82" s="42" t="str">
        <f t="shared" si="87"/>
        <v/>
      </c>
      <c r="CE82" s="42" t="str">
        <f t="shared" si="87"/>
        <v/>
      </c>
      <c r="CF82" s="42" t="str">
        <f t="shared" si="87"/>
        <v/>
      </c>
      <c r="CG82" s="42" t="str">
        <f t="shared" si="87"/>
        <v/>
      </c>
      <c r="CH82" s="42" t="str">
        <f t="shared" si="87"/>
        <v/>
      </c>
      <c r="CI82" s="42" t="str">
        <f t="shared" si="87"/>
        <v/>
      </c>
      <c r="CJ82" s="42" t="str">
        <f t="shared" si="87"/>
        <v/>
      </c>
      <c r="CK82" s="42" t="str">
        <f t="shared" si="87"/>
        <v/>
      </c>
    </row>
    <row r="83" spans="3:89" ht="18.75" customHeight="1" thickBot="1">
      <c r="C83" s="19"/>
      <c r="D83" s="9"/>
      <c r="E83" s="22"/>
      <c r="F83" s="20"/>
      <c r="G83" s="20"/>
      <c r="H83" s="20"/>
      <c r="I83" s="23"/>
      <c r="K83" s="24"/>
      <c r="L83" s="20"/>
      <c r="Q83" s="6"/>
      <c r="R83" s="11"/>
      <c r="S83" s="11"/>
      <c r="T83" s="17"/>
      <c r="U83" s="17"/>
      <c r="V83" s="17"/>
      <c r="W83" s="17"/>
      <c r="X83" s="17"/>
      <c r="Y83" s="17"/>
      <c r="Z83" s="33"/>
      <c r="AA83" s="40" t="str">
        <f t="shared" ref="AA83:AJ92" si="88">IF($A83="","",IF($B83="Milestone",IF(AND(AA$1&lt;=$R83,AA$1+7&gt;$R83),"◆",""),IF(AND(AA$1&lt;$S83,AA$1+7&gt;$R83),IF($B83="Summary","=",IF($B83="Activity",IF($Z83=TRUE,"X","O"),"")),"")))</f>
        <v/>
      </c>
      <c r="AB83" s="41" t="str">
        <f t="shared" si="88"/>
        <v/>
      </c>
      <c r="AC83" s="41" t="str">
        <f t="shared" si="88"/>
        <v/>
      </c>
      <c r="AD83" s="42" t="str">
        <f t="shared" si="88"/>
        <v/>
      </c>
      <c r="AE83" s="40" t="str">
        <f t="shared" si="88"/>
        <v/>
      </c>
      <c r="AF83" s="41" t="str">
        <f t="shared" si="88"/>
        <v/>
      </c>
      <c r="AG83" s="41" t="str">
        <f t="shared" si="88"/>
        <v/>
      </c>
      <c r="AH83" s="42" t="str">
        <f t="shared" si="88"/>
        <v/>
      </c>
      <c r="AI83" s="40" t="str">
        <f t="shared" si="88"/>
        <v/>
      </c>
      <c r="AJ83" s="41" t="str">
        <f t="shared" si="88"/>
        <v/>
      </c>
      <c r="AK83" s="47" t="str">
        <f t="shared" ref="AK83:AT92" si="89">IF($A83="","",IF($B83="Milestone",IF(AND(AK$1&lt;=$R83,AK$1+7&gt;$R83),"◆",""),IF(AND(AK$1&lt;$S83,AK$1+7&gt;$R83),IF($B83="Summary","=",IF($B83="Activity",IF($Z83=TRUE,"X","O"),"")),"")))</f>
        <v/>
      </c>
      <c r="AL83" s="53" t="str">
        <f t="shared" si="89"/>
        <v/>
      </c>
      <c r="AM83" s="50" t="str">
        <f t="shared" si="89"/>
        <v/>
      </c>
      <c r="AN83" s="44" t="str">
        <f t="shared" si="89"/>
        <v/>
      </c>
      <c r="AO83" s="41" t="str">
        <f t="shared" si="89"/>
        <v/>
      </c>
      <c r="AP83" s="41" t="str">
        <f t="shared" si="89"/>
        <v/>
      </c>
      <c r="AQ83" s="42" t="str">
        <f t="shared" si="89"/>
        <v/>
      </c>
      <c r="AR83" s="40" t="str">
        <f t="shared" si="89"/>
        <v/>
      </c>
      <c r="AS83" s="41" t="str">
        <f t="shared" si="89"/>
        <v/>
      </c>
      <c r="AT83" s="41" t="str">
        <f t="shared" si="89"/>
        <v/>
      </c>
      <c r="AU83" s="42" t="str">
        <f t="shared" ref="AU83:BD92" si="90">IF($A83="","",IF($B83="Milestone",IF(AND(AU$1&lt;=$R83,AU$1+7&gt;$R83),"◆",""),IF(AND(AU$1&lt;$S83,AU$1+7&gt;$R83),IF($B83="Summary","=",IF($B83="Activity",IF($Z83=TRUE,"X","O"),"")),"")))</f>
        <v/>
      </c>
      <c r="AV83" s="40" t="str">
        <f t="shared" si="90"/>
        <v/>
      </c>
      <c r="AW83" s="41" t="str">
        <f t="shared" si="90"/>
        <v/>
      </c>
      <c r="AX83" s="41" t="str">
        <f t="shared" si="90"/>
        <v/>
      </c>
      <c r="AY83" s="41" t="str">
        <f t="shared" si="90"/>
        <v/>
      </c>
      <c r="AZ83" s="42" t="str">
        <f t="shared" si="90"/>
        <v/>
      </c>
      <c r="BA83" s="42" t="str">
        <f t="shared" si="90"/>
        <v/>
      </c>
      <c r="BB83" s="42" t="str">
        <f t="shared" si="90"/>
        <v/>
      </c>
      <c r="BC83" s="42" t="str">
        <f t="shared" si="90"/>
        <v/>
      </c>
      <c r="BD83" s="42" t="str">
        <f t="shared" si="90"/>
        <v/>
      </c>
      <c r="BE83" s="42" t="str">
        <f t="shared" ref="BE83:BN92" si="91">IF($A83="","",IF($B83="Milestone",IF(AND(BE$1&lt;=$R83,BE$1+7&gt;$R83),"◆",""),IF(AND(BE$1&lt;$S83,BE$1+7&gt;$R83),IF($B83="Summary","=",IF($B83="Activity",IF($Z83=TRUE,"X","O"),"")),"")))</f>
        <v/>
      </c>
      <c r="BF83" s="42" t="str">
        <f t="shared" si="91"/>
        <v/>
      </c>
      <c r="BG83" s="42" t="str">
        <f t="shared" si="91"/>
        <v/>
      </c>
      <c r="BH83" s="42" t="str">
        <f t="shared" si="91"/>
        <v/>
      </c>
      <c r="BI83" s="42" t="str">
        <f t="shared" si="91"/>
        <v/>
      </c>
      <c r="BJ83" s="42" t="str">
        <f t="shared" si="91"/>
        <v/>
      </c>
      <c r="BK83" s="42" t="str">
        <f t="shared" si="91"/>
        <v/>
      </c>
      <c r="BL83" s="42" t="str">
        <f t="shared" si="91"/>
        <v/>
      </c>
      <c r="BM83" s="42" t="str">
        <f t="shared" si="91"/>
        <v/>
      </c>
      <c r="BN83" s="42" t="str">
        <f t="shared" si="91"/>
        <v/>
      </c>
      <c r="BO83" s="42" t="str">
        <f t="shared" ref="BO83:BX92" si="92">IF($A83="","",IF($B83="Milestone",IF(AND(BO$1&lt;=$R83,BO$1+7&gt;$R83),"◆",""),IF(AND(BO$1&lt;$S83,BO$1+7&gt;$R83),IF($B83="Summary","=",IF($B83="Activity",IF($Z83=TRUE,"X","O"),"")),"")))</f>
        <v/>
      </c>
      <c r="BP83" s="42" t="str">
        <f t="shared" si="92"/>
        <v/>
      </c>
      <c r="BQ83" s="42" t="str">
        <f t="shared" si="92"/>
        <v/>
      </c>
      <c r="BR83" s="42" t="str">
        <f t="shared" si="92"/>
        <v/>
      </c>
      <c r="BS83" s="42" t="str">
        <f t="shared" si="92"/>
        <v/>
      </c>
      <c r="BT83" s="42" t="str">
        <f t="shared" si="92"/>
        <v/>
      </c>
      <c r="BU83" s="42" t="str">
        <f t="shared" si="92"/>
        <v/>
      </c>
      <c r="BV83" s="42" t="str">
        <f t="shared" si="92"/>
        <v/>
      </c>
      <c r="BW83" s="42" t="str">
        <f t="shared" si="92"/>
        <v/>
      </c>
      <c r="BX83" s="42" t="str">
        <f t="shared" si="92"/>
        <v/>
      </c>
      <c r="BY83" s="42" t="str">
        <f t="shared" ref="BY83:CK92" si="93">IF($A83="","",IF($B83="Milestone",IF(AND(BY$1&lt;=$R83,BY$1+7&gt;$R83),"◆",""),IF(AND(BY$1&lt;$S83,BY$1+7&gt;$R83),IF($B83="Summary","=",IF($B83="Activity",IF($Z83=TRUE,"X","O"),"")),"")))</f>
        <v/>
      </c>
      <c r="BZ83" s="42" t="str">
        <f t="shared" si="93"/>
        <v/>
      </c>
      <c r="CA83" s="42" t="str">
        <f t="shared" si="93"/>
        <v/>
      </c>
      <c r="CB83" s="42" t="str">
        <f t="shared" si="93"/>
        <v/>
      </c>
      <c r="CC83" s="42" t="str">
        <f t="shared" si="93"/>
        <v/>
      </c>
      <c r="CD83" s="42" t="str">
        <f t="shared" si="93"/>
        <v/>
      </c>
      <c r="CE83" s="42" t="str">
        <f t="shared" si="93"/>
        <v/>
      </c>
      <c r="CF83" s="42" t="str">
        <f t="shared" si="93"/>
        <v/>
      </c>
      <c r="CG83" s="42" t="str">
        <f t="shared" si="93"/>
        <v/>
      </c>
      <c r="CH83" s="42" t="str">
        <f t="shared" si="93"/>
        <v/>
      </c>
      <c r="CI83" s="42" t="str">
        <f t="shared" si="93"/>
        <v/>
      </c>
      <c r="CJ83" s="42" t="str">
        <f t="shared" si="93"/>
        <v/>
      </c>
      <c r="CK83" s="42" t="str">
        <f t="shared" si="93"/>
        <v/>
      </c>
    </row>
    <row r="84" spans="3:89" ht="18.75" customHeight="1" thickBot="1">
      <c r="C84" s="19"/>
      <c r="D84" s="9"/>
      <c r="E84" s="22"/>
      <c r="F84" s="20"/>
      <c r="G84" s="20"/>
      <c r="H84" s="20"/>
      <c r="I84" s="23"/>
      <c r="K84" s="24"/>
      <c r="L84" s="20"/>
      <c r="Q84" s="6"/>
      <c r="R84" s="11"/>
      <c r="S84" s="11"/>
      <c r="T84" s="17"/>
      <c r="U84" s="17"/>
      <c r="V84" s="17"/>
      <c r="W84" s="17"/>
      <c r="X84" s="17"/>
      <c r="Y84" s="17"/>
      <c r="Z84" s="33"/>
      <c r="AA84" s="40" t="str">
        <f t="shared" si="88"/>
        <v/>
      </c>
      <c r="AB84" s="41" t="str">
        <f t="shared" si="88"/>
        <v/>
      </c>
      <c r="AC84" s="41" t="str">
        <f t="shared" si="88"/>
        <v/>
      </c>
      <c r="AD84" s="42" t="str">
        <f t="shared" si="88"/>
        <v/>
      </c>
      <c r="AE84" s="40" t="str">
        <f t="shared" si="88"/>
        <v/>
      </c>
      <c r="AF84" s="41" t="str">
        <f t="shared" si="88"/>
        <v/>
      </c>
      <c r="AG84" s="41" t="str">
        <f t="shared" si="88"/>
        <v/>
      </c>
      <c r="AH84" s="42" t="str">
        <f t="shared" si="88"/>
        <v/>
      </c>
      <c r="AI84" s="40" t="str">
        <f t="shared" si="88"/>
        <v/>
      </c>
      <c r="AJ84" s="41" t="str">
        <f t="shared" si="88"/>
        <v/>
      </c>
      <c r="AK84" s="47" t="str">
        <f t="shared" si="89"/>
        <v/>
      </c>
      <c r="AL84" s="53" t="str">
        <f t="shared" si="89"/>
        <v/>
      </c>
      <c r="AM84" s="50" t="str">
        <f t="shared" si="89"/>
        <v/>
      </c>
      <c r="AN84" s="44" t="str">
        <f t="shared" si="89"/>
        <v/>
      </c>
      <c r="AO84" s="41" t="str">
        <f t="shared" si="89"/>
        <v/>
      </c>
      <c r="AP84" s="41" t="str">
        <f t="shared" si="89"/>
        <v/>
      </c>
      <c r="AQ84" s="42" t="str">
        <f t="shared" si="89"/>
        <v/>
      </c>
      <c r="AR84" s="40" t="str">
        <f t="shared" si="89"/>
        <v/>
      </c>
      <c r="AS84" s="41" t="str">
        <f t="shared" si="89"/>
        <v/>
      </c>
      <c r="AT84" s="41" t="str">
        <f t="shared" si="89"/>
        <v/>
      </c>
      <c r="AU84" s="42" t="str">
        <f t="shared" si="90"/>
        <v/>
      </c>
      <c r="AV84" s="40" t="str">
        <f t="shared" si="90"/>
        <v/>
      </c>
      <c r="AW84" s="41" t="str">
        <f t="shared" si="90"/>
        <v/>
      </c>
      <c r="AX84" s="41" t="str">
        <f t="shared" si="90"/>
        <v/>
      </c>
      <c r="AY84" s="41" t="str">
        <f t="shared" si="90"/>
        <v/>
      </c>
      <c r="AZ84" s="42" t="str">
        <f t="shared" si="90"/>
        <v/>
      </c>
      <c r="BA84" s="42" t="str">
        <f t="shared" si="90"/>
        <v/>
      </c>
      <c r="BB84" s="42" t="str">
        <f t="shared" si="90"/>
        <v/>
      </c>
      <c r="BC84" s="42" t="str">
        <f t="shared" si="90"/>
        <v/>
      </c>
      <c r="BD84" s="42" t="str">
        <f t="shared" si="90"/>
        <v/>
      </c>
      <c r="BE84" s="42" t="str">
        <f t="shared" si="91"/>
        <v/>
      </c>
      <c r="BF84" s="42" t="str">
        <f t="shared" si="91"/>
        <v/>
      </c>
      <c r="BG84" s="42" t="str">
        <f t="shared" si="91"/>
        <v/>
      </c>
      <c r="BH84" s="42" t="str">
        <f t="shared" si="91"/>
        <v/>
      </c>
      <c r="BI84" s="42" t="str">
        <f t="shared" si="91"/>
        <v/>
      </c>
      <c r="BJ84" s="42" t="str">
        <f t="shared" si="91"/>
        <v/>
      </c>
      <c r="BK84" s="42" t="str">
        <f t="shared" si="91"/>
        <v/>
      </c>
      <c r="BL84" s="42" t="str">
        <f t="shared" si="91"/>
        <v/>
      </c>
      <c r="BM84" s="42" t="str">
        <f t="shared" si="91"/>
        <v/>
      </c>
      <c r="BN84" s="42" t="str">
        <f t="shared" si="91"/>
        <v/>
      </c>
      <c r="BO84" s="42" t="str">
        <f t="shared" si="92"/>
        <v/>
      </c>
      <c r="BP84" s="42" t="str">
        <f t="shared" si="92"/>
        <v/>
      </c>
      <c r="BQ84" s="42" t="str">
        <f t="shared" si="92"/>
        <v/>
      </c>
      <c r="BR84" s="42" t="str">
        <f t="shared" si="92"/>
        <v/>
      </c>
      <c r="BS84" s="42" t="str">
        <f t="shared" si="92"/>
        <v/>
      </c>
      <c r="BT84" s="42" t="str">
        <f t="shared" si="92"/>
        <v/>
      </c>
      <c r="BU84" s="42" t="str">
        <f t="shared" si="92"/>
        <v/>
      </c>
      <c r="BV84" s="42" t="str">
        <f t="shared" si="92"/>
        <v/>
      </c>
      <c r="BW84" s="42" t="str">
        <f t="shared" si="92"/>
        <v/>
      </c>
      <c r="BX84" s="42" t="str">
        <f t="shared" si="92"/>
        <v/>
      </c>
      <c r="BY84" s="42" t="str">
        <f t="shared" si="93"/>
        <v/>
      </c>
      <c r="BZ84" s="42" t="str">
        <f t="shared" si="93"/>
        <v/>
      </c>
      <c r="CA84" s="42" t="str">
        <f t="shared" si="93"/>
        <v/>
      </c>
      <c r="CB84" s="42" t="str">
        <f t="shared" si="93"/>
        <v/>
      </c>
      <c r="CC84" s="42" t="str">
        <f t="shared" si="93"/>
        <v/>
      </c>
      <c r="CD84" s="42" t="str">
        <f t="shared" si="93"/>
        <v/>
      </c>
      <c r="CE84" s="42" t="str">
        <f t="shared" si="93"/>
        <v/>
      </c>
      <c r="CF84" s="42" t="str">
        <f t="shared" si="93"/>
        <v/>
      </c>
      <c r="CG84" s="42" t="str">
        <f t="shared" si="93"/>
        <v/>
      </c>
      <c r="CH84" s="42" t="str">
        <f t="shared" si="93"/>
        <v/>
      </c>
      <c r="CI84" s="42" t="str">
        <f t="shared" si="93"/>
        <v/>
      </c>
      <c r="CJ84" s="42" t="str">
        <f t="shared" si="93"/>
        <v/>
      </c>
      <c r="CK84" s="42" t="str">
        <f t="shared" si="93"/>
        <v/>
      </c>
    </row>
    <row r="85" spans="3:89" ht="18.75" customHeight="1" thickBot="1">
      <c r="C85" s="19"/>
      <c r="D85" s="9"/>
      <c r="E85" s="22"/>
      <c r="F85" s="20"/>
      <c r="G85" s="20"/>
      <c r="H85" s="20"/>
      <c r="I85" s="23"/>
      <c r="K85" s="24"/>
      <c r="L85" s="20"/>
      <c r="Q85" s="6"/>
      <c r="R85" s="11"/>
      <c r="S85" s="11"/>
      <c r="T85" s="17"/>
      <c r="U85" s="17"/>
      <c r="V85" s="17"/>
      <c r="W85" s="17"/>
      <c r="X85" s="17"/>
      <c r="Y85" s="17"/>
      <c r="Z85" s="33"/>
      <c r="AA85" s="40" t="str">
        <f t="shared" si="88"/>
        <v/>
      </c>
      <c r="AB85" s="41" t="str">
        <f t="shared" si="88"/>
        <v/>
      </c>
      <c r="AC85" s="41" t="str">
        <f t="shared" si="88"/>
        <v/>
      </c>
      <c r="AD85" s="42" t="str">
        <f t="shared" si="88"/>
        <v/>
      </c>
      <c r="AE85" s="40" t="str">
        <f t="shared" si="88"/>
        <v/>
      </c>
      <c r="AF85" s="41" t="str">
        <f t="shared" si="88"/>
        <v/>
      </c>
      <c r="AG85" s="41" t="str">
        <f t="shared" si="88"/>
        <v/>
      </c>
      <c r="AH85" s="42" t="str">
        <f t="shared" si="88"/>
        <v/>
      </c>
      <c r="AI85" s="40" t="str">
        <f t="shared" si="88"/>
        <v/>
      </c>
      <c r="AJ85" s="41" t="str">
        <f t="shared" si="88"/>
        <v/>
      </c>
      <c r="AK85" s="47" t="str">
        <f t="shared" si="89"/>
        <v/>
      </c>
      <c r="AL85" s="53" t="str">
        <f t="shared" si="89"/>
        <v/>
      </c>
      <c r="AM85" s="50" t="str">
        <f t="shared" si="89"/>
        <v/>
      </c>
      <c r="AN85" s="44" t="str">
        <f t="shared" si="89"/>
        <v/>
      </c>
      <c r="AO85" s="41" t="str">
        <f t="shared" si="89"/>
        <v/>
      </c>
      <c r="AP85" s="41" t="str">
        <f t="shared" si="89"/>
        <v/>
      </c>
      <c r="AQ85" s="42" t="str">
        <f t="shared" si="89"/>
        <v/>
      </c>
      <c r="AR85" s="40" t="str">
        <f t="shared" si="89"/>
        <v/>
      </c>
      <c r="AS85" s="41" t="str">
        <f t="shared" si="89"/>
        <v/>
      </c>
      <c r="AT85" s="41" t="str">
        <f t="shared" si="89"/>
        <v/>
      </c>
      <c r="AU85" s="42" t="str">
        <f t="shared" si="90"/>
        <v/>
      </c>
      <c r="AV85" s="40" t="str">
        <f t="shared" si="90"/>
        <v/>
      </c>
      <c r="AW85" s="41" t="str">
        <f t="shared" si="90"/>
        <v/>
      </c>
      <c r="AX85" s="41" t="str">
        <f t="shared" si="90"/>
        <v/>
      </c>
      <c r="AY85" s="41" t="str">
        <f t="shared" si="90"/>
        <v/>
      </c>
      <c r="AZ85" s="42" t="str">
        <f t="shared" si="90"/>
        <v/>
      </c>
      <c r="BA85" s="42" t="str">
        <f t="shared" si="90"/>
        <v/>
      </c>
      <c r="BB85" s="42" t="str">
        <f t="shared" si="90"/>
        <v/>
      </c>
      <c r="BC85" s="42" t="str">
        <f t="shared" si="90"/>
        <v/>
      </c>
      <c r="BD85" s="42" t="str">
        <f t="shared" si="90"/>
        <v/>
      </c>
      <c r="BE85" s="42" t="str">
        <f t="shared" si="91"/>
        <v/>
      </c>
      <c r="BF85" s="42" t="str">
        <f t="shared" si="91"/>
        <v/>
      </c>
      <c r="BG85" s="42" t="str">
        <f t="shared" si="91"/>
        <v/>
      </c>
      <c r="BH85" s="42" t="str">
        <f t="shared" si="91"/>
        <v/>
      </c>
      <c r="BI85" s="42" t="str">
        <f t="shared" si="91"/>
        <v/>
      </c>
      <c r="BJ85" s="42" t="str">
        <f t="shared" si="91"/>
        <v/>
      </c>
      <c r="BK85" s="42" t="str">
        <f t="shared" si="91"/>
        <v/>
      </c>
      <c r="BL85" s="42" t="str">
        <f t="shared" si="91"/>
        <v/>
      </c>
      <c r="BM85" s="42" t="str">
        <f t="shared" si="91"/>
        <v/>
      </c>
      <c r="BN85" s="42" t="str">
        <f t="shared" si="91"/>
        <v/>
      </c>
      <c r="BO85" s="42" t="str">
        <f t="shared" si="92"/>
        <v/>
      </c>
      <c r="BP85" s="42" t="str">
        <f t="shared" si="92"/>
        <v/>
      </c>
      <c r="BQ85" s="42" t="str">
        <f t="shared" si="92"/>
        <v/>
      </c>
      <c r="BR85" s="42" t="str">
        <f t="shared" si="92"/>
        <v/>
      </c>
      <c r="BS85" s="42" t="str">
        <f t="shared" si="92"/>
        <v/>
      </c>
      <c r="BT85" s="42" t="str">
        <f t="shared" si="92"/>
        <v/>
      </c>
      <c r="BU85" s="42" t="str">
        <f t="shared" si="92"/>
        <v/>
      </c>
      <c r="BV85" s="42" t="str">
        <f t="shared" si="92"/>
        <v/>
      </c>
      <c r="BW85" s="42" t="str">
        <f t="shared" si="92"/>
        <v/>
      </c>
      <c r="BX85" s="42" t="str">
        <f t="shared" si="92"/>
        <v/>
      </c>
      <c r="BY85" s="42" t="str">
        <f t="shared" si="93"/>
        <v/>
      </c>
      <c r="BZ85" s="42" t="str">
        <f t="shared" si="93"/>
        <v/>
      </c>
      <c r="CA85" s="42" t="str">
        <f t="shared" si="93"/>
        <v/>
      </c>
      <c r="CB85" s="42" t="str">
        <f t="shared" si="93"/>
        <v/>
      </c>
      <c r="CC85" s="42" t="str">
        <f t="shared" si="93"/>
        <v/>
      </c>
      <c r="CD85" s="42" t="str">
        <f t="shared" si="93"/>
        <v/>
      </c>
      <c r="CE85" s="42" t="str">
        <f t="shared" si="93"/>
        <v/>
      </c>
      <c r="CF85" s="42" t="str">
        <f t="shared" si="93"/>
        <v/>
      </c>
      <c r="CG85" s="42" t="str">
        <f t="shared" si="93"/>
        <v/>
      </c>
      <c r="CH85" s="42" t="str">
        <f t="shared" si="93"/>
        <v/>
      </c>
      <c r="CI85" s="42" t="str">
        <f t="shared" si="93"/>
        <v/>
      </c>
      <c r="CJ85" s="42" t="str">
        <f t="shared" si="93"/>
        <v/>
      </c>
      <c r="CK85" s="42" t="str">
        <f t="shared" si="93"/>
        <v/>
      </c>
    </row>
    <row r="86" spans="3:89" ht="18.75" customHeight="1" thickBot="1">
      <c r="C86" s="19"/>
      <c r="D86" s="9"/>
      <c r="E86" s="22"/>
      <c r="F86" s="20"/>
      <c r="G86" s="20"/>
      <c r="H86" s="20"/>
      <c r="I86" s="23"/>
      <c r="K86" s="24"/>
      <c r="L86" s="20"/>
      <c r="Q86" s="6"/>
      <c r="R86" s="11"/>
      <c r="S86" s="11"/>
      <c r="T86" s="17"/>
      <c r="U86" s="17"/>
      <c r="V86" s="17"/>
      <c r="W86" s="17"/>
      <c r="X86" s="17"/>
      <c r="Y86" s="17"/>
      <c r="Z86" s="33"/>
      <c r="AA86" s="40" t="str">
        <f t="shared" si="88"/>
        <v/>
      </c>
      <c r="AB86" s="41" t="str">
        <f t="shared" si="88"/>
        <v/>
      </c>
      <c r="AC86" s="41" t="str">
        <f t="shared" si="88"/>
        <v/>
      </c>
      <c r="AD86" s="42" t="str">
        <f t="shared" si="88"/>
        <v/>
      </c>
      <c r="AE86" s="40" t="str">
        <f t="shared" si="88"/>
        <v/>
      </c>
      <c r="AF86" s="41" t="str">
        <f t="shared" si="88"/>
        <v/>
      </c>
      <c r="AG86" s="41" t="str">
        <f t="shared" si="88"/>
        <v/>
      </c>
      <c r="AH86" s="42" t="str">
        <f t="shared" si="88"/>
        <v/>
      </c>
      <c r="AI86" s="40" t="str">
        <f t="shared" si="88"/>
        <v/>
      </c>
      <c r="AJ86" s="41" t="str">
        <f t="shared" si="88"/>
        <v/>
      </c>
      <c r="AK86" s="47" t="str">
        <f t="shared" si="89"/>
        <v/>
      </c>
      <c r="AL86" s="53" t="str">
        <f t="shared" si="89"/>
        <v/>
      </c>
      <c r="AM86" s="50" t="str">
        <f t="shared" si="89"/>
        <v/>
      </c>
      <c r="AN86" s="44" t="str">
        <f t="shared" si="89"/>
        <v/>
      </c>
      <c r="AO86" s="41" t="str">
        <f t="shared" si="89"/>
        <v/>
      </c>
      <c r="AP86" s="41" t="str">
        <f t="shared" si="89"/>
        <v/>
      </c>
      <c r="AQ86" s="42" t="str">
        <f t="shared" si="89"/>
        <v/>
      </c>
      <c r="AR86" s="40" t="str">
        <f t="shared" si="89"/>
        <v/>
      </c>
      <c r="AS86" s="41" t="str">
        <f t="shared" si="89"/>
        <v/>
      </c>
      <c r="AT86" s="41" t="str">
        <f t="shared" si="89"/>
        <v/>
      </c>
      <c r="AU86" s="42" t="str">
        <f t="shared" si="90"/>
        <v/>
      </c>
      <c r="AV86" s="40" t="str">
        <f t="shared" si="90"/>
        <v/>
      </c>
      <c r="AW86" s="41" t="str">
        <f t="shared" si="90"/>
        <v/>
      </c>
      <c r="AX86" s="41" t="str">
        <f t="shared" si="90"/>
        <v/>
      </c>
      <c r="AY86" s="41" t="str">
        <f t="shared" si="90"/>
        <v/>
      </c>
      <c r="AZ86" s="42" t="str">
        <f t="shared" si="90"/>
        <v/>
      </c>
      <c r="BA86" s="42" t="str">
        <f t="shared" si="90"/>
        <v/>
      </c>
      <c r="BB86" s="42" t="str">
        <f t="shared" si="90"/>
        <v/>
      </c>
      <c r="BC86" s="42" t="str">
        <f t="shared" si="90"/>
        <v/>
      </c>
      <c r="BD86" s="42" t="str">
        <f t="shared" si="90"/>
        <v/>
      </c>
      <c r="BE86" s="42" t="str">
        <f t="shared" si="91"/>
        <v/>
      </c>
      <c r="BF86" s="42" t="str">
        <f t="shared" si="91"/>
        <v/>
      </c>
      <c r="BG86" s="42" t="str">
        <f t="shared" si="91"/>
        <v/>
      </c>
      <c r="BH86" s="42" t="str">
        <f t="shared" si="91"/>
        <v/>
      </c>
      <c r="BI86" s="42" t="str">
        <f t="shared" si="91"/>
        <v/>
      </c>
      <c r="BJ86" s="42" t="str">
        <f t="shared" si="91"/>
        <v/>
      </c>
      <c r="BK86" s="42" t="str">
        <f t="shared" si="91"/>
        <v/>
      </c>
      <c r="BL86" s="42" t="str">
        <f t="shared" si="91"/>
        <v/>
      </c>
      <c r="BM86" s="42" t="str">
        <f t="shared" si="91"/>
        <v/>
      </c>
      <c r="BN86" s="42" t="str">
        <f t="shared" si="91"/>
        <v/>
      </c>
      <c r="BO86" s="42" t="str">
        <f t="shared" si="92"/>
        <v/>
      </c>
      <c r="BP86" s="42" t="str">
        <f t="shared" si="92"/>
        <v/>
      </c>
      <c r="BQ86" s="42" t="str">
        <f t="shared" si="92"/>
        <v/>
      </c>
      <c r="BR86" s="42" t="str">
        <f t="shared" si="92"/>
        <v/>
      </c>
      <c r="BS86" s="42" t="str">
        <f t="shared" si="92"/>
        <v/>
      </c>
      <c r="BT86" s="42" t="str">
        <f t="shared" si="92"/>
        <v/>
      </c>
      <c r="BU86" s="42" t="str">
        <f t="shared" si="92"/>
        <v/>
      </c>
      <c r="BV86" s="42" t="str">
        <f t="shared" si="92"/>
        <v/>
      </c>
      <c r="BW86" s="42" t="str">
        <f t="shared" si="92"/>
        <v/>
      </c>
      <c r="BX86" s="42" t="str">
        <f t="shared" si="92"/>
        <v/>
      </c>
      <c r="BY86" s="42" t="str">
        <f t="shared" si="93"/>
        <v/>
      </c>
      <c r="BZ86" s="42" t="str">
        <f t="shared" si="93"/>
        <v/>
      </c>
      <c r="CA86" s="42" t="str">
        <f t="shared" si="93"/>
        <v/>
      </c>
      <c r="CB86" s="42" t="str">
        <f t="shared" si="93"/>
        <v/>
      </c>
      <c r="CC86" s="42" t="str">
        <f t="shared" si="93"/>
        <v/>
      </c>
      <c r="CD86" s="42" t="str">
        <f t="shared" si="93"/>
        <v/>
      </c>
      <c r="CE86" s="42" t="str">
        <f t="shared" si="93"/>
        <v/>
      </c>
      <c r="CF86" s="42" t="str">
        <f t="shared" si="93"/>
        <v/>
      </c>
      <c r="CG86" s="42" t="str">
        <f t="shared" si="93"/>
        <v/>
      </c>
      <c r="CH86" s="42" t="str">
        <f t="shared" si="93"/>
        <v/>
      </c>
      <c r="CI86" s="42" t="str">
        <f t="shared" si="93"/>
        <v/>
      </c>
      <c r="CJ86" s="42" t="str">
        <f t="shared" si="93"/>
        <v/>
      </c>
      <c r="CK86" s="42" t="str">
        <f t="shared" si="93"/>
        <v/>
      </c>
    </row>
    <row r="87" spans="3:89" ht="18.75" customHeight="1" thickBot="1">
      <c r="C87" s="19"/>
      <c r="D87" s="9"/>
      <c r="E87" s="22"/>
      <c r="F87" s="20"/>
      <c r="G87" s="20"/>
      <c r="H87" s="20"/>
      <c r="I87" s="23"/>
      <c r="K87" s="24"/>
      <c r="L87" s="20"/>
      <c r="Q87" s="6"/>
      <c r="R87" s="11"/>
      <c r="S87" s="11"/>
      <c r="T87" s="17"/>
      <c r="U87" s="17"/>
      <c r="V87" s="17"/>
      <c r="W87" s="17"/>
      <c r="X87" s="17"/>
      <c r="Y87" s="17"/>
      <c r="Z87" s="33"/>
      <c r="AA87" s="40" t="str">
        <f t="shared" si="88"/>
        <v/>
      </c>
      <c r="AB87" s="41" t="str">
        <f t="shared" si="88"/>
        <v/>
      </c>
      <c r="AC87" s="41" t="str">
        <f t="shared" si="88"/>
        <v/>
      </c>
      <c r="AD87" s="42" t="str">
        <f t="shared" si="88"/>
        <v/>
      </c>
      <c r="AE87" s="40" t="str">
        <f t="shared" si="88"/>
        <v/>
      </c>
      <c r="AF87" s="41" t="str">
        <f t="shared" si="88"/>
        <v/>
      </c>
      <c r="AG87" s="41" t="str">
        <f t="shared" si="88"/>
        <v/>
      </c>
      <c r="AH87" s="42" t="str">
        <f t="shared" si="88"/>
        <v/>
      </c>
      <c r="AI87" s="40" t="str">
        <f t="shared" si="88"/>
        <v/>
      </c>
      <c r="AJ87" s="41" t="str">
        <f t="shared" si="88"/>
        <v/>
      </c>
      <c r="AK87" s="47" t="str">
        <f t="shared" si="89"/>
        <v/>
      </c>
      <c r="AL87" s="53" t="str">
        <f t="shared" si="89"/>
        <v/>
      </c>
      <c r="AM87" s="50" t="str">
        <f t="shared" si="89"/>
        <v/>
      </c>
      <c r="AN87" s="44" t="str">
        <f t="shared" si="89"/>
        <v/>
      </c>
      <c r="AO87" s="41" t="str">
        <f t="shared" si="89"/>
        <v/>
      </c>
      <c r="AP87" s="41" t="str">
        <f t="shared" si="89"/>
        <v/>
      </c>
      <c r="AQ87" s="42" t="str">
        <f t="shared" si="89"/>
        <v/>
      </c>
      <c r="AR87" s="40" t="str">
        <f t="shared" si="89"/>
        <v/>
      </c>
      <c r="AS87" s="41" t="str">
        <f t="shared" si="89"/>
        <v/>
      </c>
      <c r="AT87" s="41" t="str">
        <f t="shared" si="89"/>
        <v/>
      </c>
      <c r="AU87" s="42" t="str">
        <f t="shared" si="90"/>
        <v/>
      </c>
      <c r="AV87" s="40" t="str">
        <f t="shared" si="90"/>
        <v/>
      </c>
      <c r="AW87" s="41" t="str">
        <f t="shared" si="90"/>
        <v/>
      </c>
      <c r="AX87" s="41" t="str">
        <f t="shared" si="90"/>
        <v/>
      </c>
      <c r="AY87" s="41" t="str">
        <f t="shared" si="90"/>
        <v/>
      </c>
      <c r="AZ87" s="42" t="str">
        <f t="shared" si="90"/>
        <v/>
      </c>
      <c r="BA87" s="42" t="str">
        <f t="shared" si="90"/>
        <v/>
      </c>
      <c r="BB87" s="42" t="str">
        <f t="shared" si="90"/>
        <v/>
      </c>
      <c r="BC87" s="42" t="str">
        <f t="shared" si="90"/>
        <v/>
      </c>
      <c r="BD87" s="42" t="str">
        <f t="shared" si="90"/>
        <v/>
      </c>
      <c r="BE87" s="42" t="str">
        <f t="shared" si="91"/>
        <v/>
      </c>
      <c r="BF87" s="42" t="str">
        <f t="shared" si="91"/>
        <v/>
      </c>
      <c r="BG87" s="42" t="str">
        <f t="shared" si="91"/>
        <v/>
      </c>
      <c r="BH87" s="42" t="str">
        <f t="shared" si="91"/>
        <v/>
      </c>
      <c r="BI87" s="42" t="str">
        <f t="shared" si="91"/>
        <v/>
      </c>
      <c r="BJ87" s="42" t="str">
        <f t="shared" si="91"/>
        <v/>
      </c>
      <c r="BK87" s="42" t="str">
        <f t="shared" si="91"/>
        <v/>
      </c>
      <c r="BL87" s="42" t="str">
        <f t="shared" si="91"/>
        <v/>
      </c>
      <c r="BM87" s="42" t="str">
        <f t="shared" si="91"/>
        <v/>
      </c>
      <c r="BN87" s="42" t="str">
        <f t="shared" si="91"/>
        <v/>
      </c>
      <c r="BO87" s="42" t="str">
        <f t="shared" si="92"/>
        <v/>
      </c>
      <c r="BP87" s="42" t="str">
        <f t="shared" si="92"/>
        <v/>
      </c>
      <c r="BQ87" s="42" t="str">
        <f t="shared" si="92"/>
        <v/>
      </c>
      <c r="BR87" s="42" t="str">
        <f t="shared" si="92"/>
        <v/>
      </c>
      <c r="BS87" s="42" t="str">
        <f t="shared" si="92"/>
        <v/>
      </c>
      <c r="BT87" s="42" t="str">
        <f t="shared" si="92"/>
        <v/>
      </c>
      <c r="BU87" s="42" t="str">
        <f t="shared" si="92"/>
        <v/>
      </c>
      <c r="BV87" s="42" t="str">
        <f t="shared" si="92"/>
        <v/>
      </c>
      <c r="BW87" s="42" t="str">
        <f t="shared" si="92"/>
        <v/>
      </c>
      <c r="BX87" s="42" t="str">
        <f t="shared" si="92"/>
        <v/>
      </c>
      <c r="BY87" s="42" t="str">
        <f t="shared" si="93"/>
        <v/>
      </c>
      <c r="BZ87" s="42" t="str">
        <f t="shared" si="93"/>
        <v/>
      </c>
      <c r="CA87" s="42" t="str">
        <f t="shared" si="93"/>
        <v/>
      </c>
      <c r="CB87" s="42" t="str">
        <f t="shared" si="93"/>
        <v/>
      </c>
      <c r="CC87" s="42" t="str">
        <f t="shared" si="93"/>
        <v/>
      </c>
      <c r="CD87" s="42" t="str">
        <f t="shared" si="93"/>
        <v/>
      </c>
      <c r="CE87" s="42" t="str">
        <f t="shared" si="93"/>
        <v/>
      </c>
      <c r="CF87" s="42" t="str">
        <f t="shared" si="93"/>
        <v/>
      </c>
      <c r="CG87" s="42" t="str">
        <f t="shared" si="93"/>
        <v/>
      </c>
      <c r="CH87" s="42" t="str">
        <f t="shared" si="93"/>
        <v/>
      </c>
      <c r="CI87" s="42" t="str">
        <f t="shared" si="93"/>
        <v/>
      </c>
      <c r="CJ87" s="42" t="str">
        <f t="shared" si="93"/>
        <v/>
      </c>
      <c r="CK87" s="42" t="str">
        <f t="shared" si="93"/>
        <v/>
      </c>
    </row>
    <row r="88" spans="3:89" ht="18.75" customHeight="1" thickBot="1">
      <c r="C88" s="19"/>
      <c r="D88" s="9"/>
      <c r="E88" s="22"/>
      <c r="F88" s="20"/>
      <c r="G88" s="20"/>
      <c r="H88" s="20"/>
      <c r="I88" s="23"/>
      <c r="K88" s="24"/>
      <c r="L88" s="20"/>
      <c r="Q88" s="6"/>
      <c r="R88" s="11"/>
      <c r="S88" s="11"/>
      <c r="T88" s="17"/>
      <c r="U88" s="17"/>
      <c r="V88" s="17"/>
      <c r="W88" s="17"/>
      <c r="X88" s="17"/>
      <c r="Y88" s="17"/>
      <c r="Z88" s="33"/>
      <c r="AA88" s="40" t="str">
        <f t="shared" si="88"/>
        <v/>
      </c>
      <c r="AB88" s="41" t="str">
        <f t="shared" si="88"/>
        <v/>
      </c>
      <c r="AC88" s="41" t="str">
        <f t="shared" si="88"/>
        <v/>
      </c>
      <c r="AD88" s="42" t="str">
        <f t="shared" si="88"/>
        <v/>
      </c>
      <c r="AE88" s="40" t="str">
        <f t="shared" si="88"/>
        <v/>
      </c>
      <c r="AF88" s="41" t="str">
        <f t="shared" si="88"/>
        <v/>
      </c>
      <c r="AG88" s="41" t="str">
        <f t="shared" si="88"/>
        <v/>
      </c>
      <c r="AH88" s="42" t="str">
        <f t="shared" si="88"/>
        <v/>
      </c>
      <c r="AI88" s="40" t="str">
        <f t="shared" si="88"/>
        <v/>
      </c>
      <c r="AJ88" s="41" t="str">
        <f t="shared" si="88"/>
        <v/>
      </c>
      <c r="AK88" s="47" t="str">
        <f t="shared" si="89"/>
        <v/>
      </c>
      <c r="AL88" s="53" t="str">
        <f t="shared" si="89"/>
        <v/>
      </c>
      <c r="AM88" s="50" t="str">
        <f t="shared" si="89"/>
        <v/>
      </c>
      <c r="AN88" s="44" t="str">
        <f t="shared" si="89"/>
        <v/>
      </c>
      <c r="AO88" s="41" t="str">
        <f t="shared" si="89"/>
        <v/>
      </c>
      <c r="AP88" s="41" t="str">
        <f t="shared" si="89"/>
        <v/>
      </c>
      <c r="AQ88" s="42" t="str">
        <f t="shared" si="89"/>
        <v/>
      </c>
      <c r="AR88" s="40" t="str">
        <f t="shared" si="89"/>
        <v/>
      </c>
      <c r="AS88" s="41" t="str">
        <f t="shared" si="89"/>
        <v/>
      </c>
      <c r="AT88" s="41" t="str">
        <f t="shared" si="89"/>
        <v/>
      </c>
      <c r="AU88" s="42" t="str">
        <f t="shared" si="90"/>
        <v/>
      </c>
      <c r="AV88" s="40" t="str">
        <f t="shared" si="90"/>
        <v/>
      </c>
      <c r="AW88" s="41" t="str">
        <f t="shared" si="90"/>
        <v/>
      </c>
      <c r="AX88" s="41" t="str">
        <f t="shared" si="90"/>
        <v/>
      </c>
      <c r="AY88" s="41" t="str">
        <f t="shared" si="90"/>
        <v/>
      </c>
      <c r="AZ88" s="42" t="str">
        <f t="shared" si="90"/>
        <v/>
      </c>
      <c r="BA88" s="42" t="str">
        <f t="shared" si="90"/>
        <v/>
      </c>
      <c r="BB88" s="42" t="str">
        <f t="shared" si="90"/>
        <v/>
      </c>
      <c r="BC88" s="42" t="str">
        <f t="shared" si="90"/>
        <v/>
      </c>
      <c r="BD88" s="42" t="str">
        <f t="shared" si="90"/>
        <v/>
      </c>
      <c r="BE88" s="42" t="str">
        <f t="shared" si="91"/>
        <v/>
      </c>
      <c r="BF88" s="42" t="str">
        <f t="shared" si="91"/>
        <v/>
      </c>
      <c r="BG88" s="42" t="str">
        <f t="shared" si="91"/>
        <v/>
      </c>
      <c r="BH88" s="42" t="str">
        <f t="shared" si="91"/>
        <v/>
      </c>
      <c r="BI88" s="42" t="str">
        <f t="shared" si="91"/>
        <v/>
      </c>
      <c r="BJ88" s="42" t="str">
        <f t="shared" si="91"/>
        <v/>
      </c>
      <c r="BK88" s="42" t="str">
        <f t="shared" si="91"/>
        <v/>
      </c>
      <c r="BL88" s="42" t="str">
        <f t="shared" si="91"/>
        <v/>
      </c>
      <c r="BM88" s="42" t="str">
        <f t="shared" si="91"/>
        <v/>
      </c>
      <c r="BN88" s="42" t="str">
        <f t="shared" si="91"/>
        <v/>
      </c>
      <c r="BO88" s="42" t="str">
        <f t="shared" si="92"/>
        <v/>
      </c>
      <c r="BP88" s="42" t="str">
        <f t="shared" si="92"/>
        <v/>
      </c>
      <c r="BQ88" s="42" t="str">
        <f t="shared" si="92"/>
        <v/>
      </c>
      <c r="BR88" s="42" t="str">
        <f t="shared" si="92"/>
        <v/>
      </c>
      <c r="BS88" s="42" t="str">
        <f t="shared" si="92"/>
        <v/>
      </c>
      <c r="BT88" s="42" t="str">
        <f t="shared" si="92"/>
        <v/>
      </c>
      <c r="BU88" s="42" t="str">
        <f t="shared" si="92"/>
        <v/>
      </c>
      <c r="BV88" s="42" t="str">
        <f t="shared" si="92"/>
        <v/>
      </c>
      <c r="BW88" s="42" t="str">
        <f t="shared" si="92"/>
        <v/>
      </c>
      <c r="BX88" s="42" t="str">
        <f t="shared" si="92"/>
        <v/>
      </c>
      <c r="BY88" s="42" t="str">
        <f t="shared" si="93"/>
        <v/>
      </c>
      <c r="BZ88" s="42" t="str">
        <f t="shared" si="93"/>
        <v/>
      </c>
      <c r="CA88" s="42" t="str">
        <f t="shared" si="93"/>
        <v/>
      </c>
      <c r="CB88" s="42" t="str">
        <f t="shared" si="93"/>
        <v/>
      </c>
      <c r="CC88" s="42" t="str">
        <f t="shared" si="93"/>
        <v/>
      </c>
      <c r="CD88" s="42" t="str">
        <f t="shared" si="93"/>
        <v/>
      </c>
      <c r="CE88" s="42" t="str">
        <f t="shared" si="93"/>
        <v/>
      </c>
      <c r="CF88" s="42" t="str">
        <f t="shared" si="93"/>
        <v/>
      </c>
      <c r="CG88" s="42" t="str">
        <f t="shared" si="93"/>
        <v/>
      </c>
      <c r="CH88" s="42" t="str">
        <f t="shared" si="93"/>
        <v/>
      </c>
      <c r="CI88" s="42" t="str">
        <f t="shared" si="93"/>
        <v/>
      </c>
      <c r="CJ88" s="42" t="str">
        <f t="shared" si="93"/>
        <v/>
      </c>
      <c r="CK88" s="42" t="str">
        <f t="shared" si="93"/>
        <v/>
      </c>
    </row>
    <row r="89" spans="3:89" ht="18.75" customHeight="1" thickBot="1">
      <c r="C89" s="19"/>
      <c r="D89" s="9"/>
      <c r="E89" s="22"/>
      <c r="F89" s="20"/>
      <c r="G89" s="20"/>
      <c r="H89" s="20"/>
      <c r="I89" s="23"/>
      <c r="K89" s="24"/>
      <c r="L89" s="20"/>
      <c r="Q89" s="6"/>
      <c r="R89" s="11"/>
      <c r="S89" s="11"/>
      <c r="T89" s="17"/>
      <c r="U89" s="17"/>
      <c r="V89" s="17"/>
      <c r="W89" s="17"/>
      <c r="X89" s="17"/>
      <c r="Y89" s="17"/>
      <c r="Z89" s="33"/>
      <c r="AA89" s="40" t="str">
        <f t="shared" si="88"/>
        <v/>
      </c>
      <c r="AB89" s="41" t="str">
        <f t="shared" si="88"/>
        <v/>
      </c>
      <c r="AC89" s="41" t="str">
        <f t="shared" si="88"/>
        <v/>
      </c>
      <c r="AD89" s="42" t="str">
        <f t="shared" si="88"/>
        <v/>
      </c>
      <c r="AE89" s="40" t="str">
        <f t="shared" si="88"/>
        <v/>
      </c>
      <c r="AF89" s="41" t="str">
        <f t="shared" si="88"/>
        <v/>
      </c>
      <c r="AG89" s="41" t="str">
        <f t="shared" si="88"/>
        <v/>
      </c>
      <c r="AH89" s="42" t="str">
        <f t="shared" si="88"/>
        <v/>
      </c>
      <c r="AI89" s="40" t="str">
        <f t="shared" si="88"/>
        <v/>
      </c>
      <c r="AJ89" s="41" t="str">
        <f t="shared" si="88"/>
        <v/>
      </c>
      <c r="AK89" s="47" t="str">
        <f t="shared" si="89"/>
        <v/>
      </c>
      <c r="AL89" s="53" t="str">
        <f t="shared" si="89"/>
        <v/>
      </c>
      <c r="AM89" s="50" t="str">
        <f t="shared" si="89"/>
        <v/>
      </c>
      <c r="AN89" s="44" t="str">
        <f t="shared" si="89"/>
        <v/>
      </c>
      <c r="AO89" s="41" t="str">
        <f t="shared" si="89"/>
        <v/>
      </c>
      <c r="AP89" s="41" t="str">
        <f t="shared" si="89"/>
        <v/>
      </c>
      <c r="AQ89" s="42" t="str">
        <f t="shared" si="89"/>
        <v/>
      </c>
      <c r="AR89" s="40" t="str">
        <f t="shared" si="89"/>
        <v/>
      </c>
      <c r="AS89" s="41" t="str">
        <f t="shared" si="89"/>
        <v/>
      </c>
      <c r="AT89" s="41" t="str">
        <f t="shared" si="89"/>
        <v/>
      </c>
      <c r="AU89" s="42" t="str">
        <f t="shared" si="90"/>
        <v/>
      </c>
      <c r="AV89" s="40" t="str">
        <f t="shared" si="90"/>
        <v/>
      </c>
      <c r="AW89" s="41" t="str">
        <f t="shared" si="90"/>
        <v/>
      </c>
      <c r="AX89" s="41" t="str">
        <f t="shared" si="90"/>
        <v/>
      </c>
      <c r="AY89" s="41" t="str">
        <f t="shared" si="90"/>
        <v/>
      </c>
      <c r="AZ89" s="42" t="str">
        <f t="shared" si="90"/>
        <v/>
      </c>
      <c r="BA89" s="42" t="str">
        <f t="shared" si="90"/>
        <v/>
      </c>
      <c r="BB89" s="42" t="str">
        <f t="shared" si="90"/>
        <v/>
      </c>
      <c r="BC89" s="42" t="str">
        <f t="shared" si="90"/>
        <v/>
      </c>
      <c r="BD89" s="42" t="str">
        <f t="shared" si="90"/>
        <v/>
      </c>
      <c r="BE89" s="42" t="str">
        <f t="shared" si="91"/>
        <v/>
      </c>
      <c r="BF89" s="42" t="str">
        <f t="shared" si="91"/>
        <v/>
      </c>
      <c r="BG89" s="42" t="str">
        <f t="shared" si="91"/>
        <v/>
      </c>
      <c r="BH89" s="42" t="str">
        <f t="shared" si="91"/>
        <v/>
      </c>
      <c r="BI89" s="42" t="str">
        <f t="shared" si="91"/>
        <v/>
      </c>
      <c r="BJ89" s="42" t="str">
        <f t="shared" si="91"/>
        <v/>
      </c>
      <c r="BK89" s="42" t="str">
        <f t="shared" si="91"/>
        <v/>
      </c>
      <c r="BL89" s="42" t="str">
        <f t="shared" si="91"/>
        <v/>
      </c>
      <c r="BM89" s="42" t="str">
        <f t="shared" si="91"/>
        <v/>
      </c>
      <c r="BN89" s="42" t="str">
        <f t="shared" si="91"/>
        <v/>
      </c>
      <c r="BO89" s="42" t="str">
        <f t="shared" si="92"/>
        <v/>
      </c>
      <c r="BP89" s="42" t="str">
        <f t="shared" si="92"/>
        <v/>
      </c>
      <c r="BQ89" s="42" t="str">
        <f t="shared" si="92"/>
        <v/>
      </c>
      <c r="BR89" s="42" t="str">
        <f t="shared" si="92"/>
        <v/>
      </c>
      <c r="BS89" s="42" t="str">
        <f t="shared" si="92"/>
        <v/>
      </c>
      <c r="BT89" s="42" t="str">
        <f t="shared" si="92"/>
        <v/>
      </c>
      <c r="BU89" s="42" t="str">
        <f t="shared" si="92"/>
        <v/>
      </c>
      <c r="BV89" s="42" t="str">
        <f t="shared" si="92"/>
        <v/>
      </c>
      <c r="BW89" s="42" t="str">
        <f t="shared" si="92"/>
        <v/>
      </c>
      <c r="BX89" s="42" t="str">
        <f t="shared" si="92"/>
        <v/>
      </c>
      <c r="BY89" s="42" t="str">
        <f t="shared" si="93"/>
        <v/>
      </c>
      <c r="BZ89" s="42" t="str">
        <f t="shared" si="93"/>
        <v/>
      </c>
      <c r="CA89" s="42" t="str">
        <f t="shared" si="93"/>
        <v/>
      </c>
      <c r="CB89" s="42" t="str">
        <f t="shared" si="93"/>
        <v/>
      </c>
      <c r="CC89" s="42" t="str">
        <f t="shared" si="93"/>
        <v/>
      </c>
      <c r="CD89" s="42" t="str">
        <f t="shared" si="93"/>
        <v/>
      </c>
      <c r="CE89" s="42" t="str">
        <f t="shared" si="93"/>
        <v/>
      </c>
      <c r="CF89" s="42" t="str">
        <f t="shared" si="93"/>
        <v/>
      </c>
      <c r="CG89" s="42" t="str">
        <f t="shared" si="93"/>
        <v/>
      </c>
      <c r="CH89" s="42" t="str">
        <f t="shared" si="93"/>
        <v/>
      </c>
      <c r="CI89" s="42" t="str">
        <f t="shared" si="93"/>
        <v/>
      </c>
      <c r="CJ89" s="42" t="str">
        <f t="shared" si="93"/>
        <v/>
      </c>
      <c r="CK89" s="42" t="str">
        <f t="shared" si="93"/>
        <v/>
      </c>
    </row>
    <row r="90" spans="3:89" ht="18.75" customHeight="1" thickBot="1">
      <c r="C90" s="19"/>
      <c r="D90" s="9"/>
      <c r="E90" s="22"/>
      <c r="F90" s="20"/>
      <c r="G90" s="20"/>
      <c r="H90" s="20"/>
      <c r="I90" s="23"/>
      <c r="K90" s="24"/>
      <c r="L90" s="20"/>
      <c r="Q90" s="6"/>
      <c r="R90" s="11"/>
      <c r="S90" s="11"/>
      <c r="T90" s="17"/>
      <c r="U90" s="17"/>
      <c r="V90" s="17"/>
      <c r="W90" s="17"/>
      <c r="X90" s="17"/>
      <c r="Y90" s="17"/>
      <c r="Z90" s="33"/>
      <c r="AA90" s="40" t="str">
        <f t="shared" si="88"/>
        <v/>
      </c>
      <c r="AB90" s="41" t="str">
        <f t="shared" si="88"/>
        <v/>
      </c>
      <c r="AC90" s="41" t="str">
        <f t="shared" si="88"/>
        <v/>
      </c>
      <c r="AD90" s="42" t="str">
        <f t="shared" si="88"/>
        <v/>
      </c>
      <c r="AE90" s="40" t="str">
        <f t="shared" si="88"/>
        <v/>
      </c>
      <c r="AF90" s="41" t="str">
        <f t="shared" si="88"/>
        <v/>
      </c>
      <c r="AG90" s="41" t="str">
        <f t="shared" si="88"/>
        <v/>
      </c>
      <c r="AH90" s="42" t="str">
        <f t="shared" si="88"/>
        <v/>
      </c>
      <c r="AI90" s="40" t="str">
        <f t="shared" si="88"/>
        <v/>
      </c>
      <c r="AJ90" s="41" t="str">
        <f t="shared" si="88"/>
        <v/>
      </c>
      <c r="AK90" s="47" t="str">
        <f t="shared" si="89"/>
        <v/>
      </c>
      <c r="AL90" s="53" t="str">
        <f t="shared" si="89"/>
        <v/>
      </c>
      <c r="AM90" s="50" t="str">
        <f t="shared" si="89"/>
        <v/>
      </c>
      <c r="AN90" s="44" t="str">
        <f t="shared" si="89"/>
        <v/>
      </c>
      <c r="AO90" s="41" t="str">
        <f t="shared" si="89"/>
        <v/>
      </c>
      <c r="AP90" s="41" t="str">
        <f t="shared" si="89"/>
        <v/>
      </c>
      <c r="AQ90" s="42" t="str">
        <f t="shared" si="89"/>
        <v/>
      </c>
      <c r="AR90" s="40" t="str">
        <f t="shared" si="89"/>
        <v/>
      </c>
      <c r="AS90" s="41" t="str">
        <f t="shared" si="89"/>
        <v/>
      </c>
      <c r="AT90" s="41" t="str">
        <f t="shared" si="89"/>
        <v/>
      </c>
      <c r="AU90" s="42" t="str">
        <f t="shared" si="90"/>
        <v/>
      </c>
      <c r="AV90" s="40" t="str">
        <f t="shared" si="90"/>
        <v/>
      </c>
      <c r="AW90" s="41" t="str">
        <f t="shared" si="90"/>
        <v/>
      </c>
      <c r="AX90" s="41" t="str">
        <f t="shared" si="90"/>
        <v/>
      </c>
      <c r="AY90" s="41" t="str">
        <f t="shared" si="90"/>
        <v/>
      </c>
      <c r="AZ90" s="42" t="str">
        <f t="shared" si="90"/>
        <v/>
      </c>
      <c r="BA90" s="42" t="str">
        <f t="shared" si="90"/>
        <v/>
      </c>
      <c r="BB90" s="42" t="str">
        <f t="shared" si="90"/>
        <v/>
      </c>
      <c r="BC90" s="42" t="str">
        <f t="shared" si="90"/>
        <v/>
      </c>
      <c r="BD90" s="42" t="str">
        <f t="shared" si="90"/>
        <v/>
      </c>
      <c r="BE90" s="42" t="str">
        <f t="shared" si="91"/>
        <v/>
      </c>
      <c r="BF90" s="42" t="str">
        <f t="shared" si="91"/>
        <v/>
      </c>
      <c r="BG90" s="42" t="str">
        <f t="shared" si="91"/>
        <v/>
      </c>
      <c r="BH90" s="42" t="str">
        <f t="shared" si="91"/>
        <v/>
      </c>
      <c r="BI90" s="42" t="str">
        <f t="shared" si="91"/>
        <v/>
      </c>
      <c r="BJ90" s="42" t="str">
        <f t="shared" si="91"/>
        <v/>
      </c>
      <c r="BK90" s="42" t="str">
        <f t="shared" si="91"/>
        <v/>
      </c>
      <c r="BL90" s="42" t="str">
        <f t="shared" si="91"/>
        <v/>
      </c>
      <c r="BM90" s="42" t="str">
        <f t="shared" si="91"/>
        <v/>
      </c>
      <c r="BN90" s="42" t="str">
        <f t="shared" si="91"/>
        <v/>
      </c>
      <c r="BO90" s="42" t="str">
        <f t="shared" si="92"/>
        <v/>
      </c>
      <c r="BP90" s="42" t="str">
        <f t="shared" si="92"/>
        <v/>
      </c>
      <c r="BQ90" s="42" t="str">
        <f t="shared" si="92"/>
        <v/>
      </c>
      <c r="BR90" s="42" t="str">
        <f t="shared" si="92"/>
        <v/>
      </c>
      <c r="BS90" s="42" t="str">
        <f t="shared" si="92"/>
        <v/>
      </c>
      <c r="BT90" s="42" t="str">
        <f t="shared" si="92"/>
        <v/>
      </c>
      <c r="BU90" s="42" t="str">
        <f t="shared" si="92"/>
        <v/>
      </c>
      <c r="BV90" s="42" t="str">
        <f t="shared" si="92"/>
        <v/>
      </c>
      <c r="BW90" s="42" t="str">
        <f t="shared" si="92"/>
        <v/>
      </c>
      <c r="BX90" s="42" t="str">
        <f t="shared" si="92"/>
        <v/>
      </c>
      <c r="BY90" s="42" t="str">
        <f t="shared" si="93"/>
        <v/>
      </c>
      <c r="BZ90" s="42" t="str">
        <f t="shared" si="93"/>
        <v/>
      </c>
      <c r="CA90" s="42" t="str">
        <f t="shared" si="93"/>
        <v/>
      </c>
      <c r="CB90" s="42" t="str">
        <f t="shared" si="93"/>
        <v/>
      </c>
      <c r="CC90" s="42" t="str">
        <f t="shared" si="93"/>
        <v/>
      </c>
      <c r="CD90" s="42" t="str">
        <f t="shared" si="93"/>
        <v/>
      </c>
      <c r="CE90" s="42" t="str">
        <f t="shared" si="93"/>
        <v/>
      </c>
      <c r="CF90" s="42" t="str">
        <f t="shared" si="93"/>
        <v/>
      </c>
      <c r="CG90" s="42" t="str">
        <f t="shared" si="93"/>
        <v/>
      </c>
      <c r="CH90" s="42" t="str">
        <f t="shared" si="93"/>
        <v/>
      </c>
      <c r="CI90" s="42" t="str">
        <f t="shared" si="93"/>
        <v/>
      </c>
      <c r="CJ90" s="42" t="str">
        <f t="shared" si="93"/>
        <v/>
      </c>
      <c r="CK90" s="42" t="str">
        <f t="shared" si="93"/>
        <v/>
      </c>
    </row>
    <row r="91" spans="3:89" ht="18.75" customHeight="1" thickBot="1">
      <c r="C91" s="19"/>
      <c r="D91" s="9"/>
      <c r="E91" s="22"/>
      <c r="F91" s="20"/>
      <c r="G91" s="20"/>
      <c r="H91" s="20"/>
      <c r="I91" s="23"/>
      <c r="K91" s="24"/>
      <c r="L91" s="20"/>
      <c r="Q91" s="6"/>
      <c r="R91" s="11"/>
      <c r="S91" s="11"/>
      <c r="T91" s="17"/>
      <c r="U91" s="17"/>
      <c r="V91" s="17"/>
      <c r="W91" s="17"/>
      <c r="X91" s="17"/>
      <c r="Y91" s="17"/>
      <c r="Z91" s="33"/>
      <c r="AA91" s="40" t="str">
        <f t="shared" si="88"/>
        <v/>
      </c>
      <c r="AB91" s="41" t="str">
        <f t="shared" si="88"/>
        <v/>
      </c>
      <c r="AC91" s="41" t="str">
        <f t="shared" si="88"/>
        <v/>
      </c>
      <c r="AD91" s="42" t="str">
        <f t="shared" si="88"/>
        <v/>
      </c>
      <c r="AE91" s="40" t="str">
        <f t="shared" si="88"/>
        <v/>
      </c>
      <c r="AF91" s="41" t="str">
        <f t="shared" si="88"/>
        <v/>
      </c>
      <c r="AG91" s="41" t="str">
        <f t="shared" si="88"/>
        <v/>
      </c>
      <c r="AH91" s="42" t="str">
        <f t="shared" si="88"/>
        <v/>
      </c>
      <c r="AI91" s="40" t="str">
        <f t="shared" si="88"/>
        <v/>
      </c>
      <c r="AJ91" s="41" t="str">
        <f t="shared" si="88"/>
        <v/>
      </c>
      <c r="AK91" s="47" t="str">
        <f t="shared" si="89"/>
        <v/>
      </c>
      <c r="AL91" s="53" t="str">
        <f t="shared" si="89"/>
        <v/>
      </c>
      <c r="AM91" s="50" t="str">
        <f t="shared" si="89"/>
        <v/>
      </c>
      <c r="AN91" s="44" t="str">
        <f t="shared" si="89"/>
        <v/>
      </c>
      <c r="AO91" s="41" t="str">
        <f t="shared" si="89"/>
        <v/>
      </c>
      <c r="AP91" s="41" t="str">
        <f t="shared" si="89"/>
        <v/>
      </c>
      <c r="AQ91" s="42" t="str">
        <f t="shared" si="89"/>
        <v/>
      </c>
      <c r="AR91" s="40" t="str">
        <f t="shared" si="89"/>
        <v/>
      </c>
      <c r="AS91" s="41" t="str">
        <f t="shared" si="89"/>
        <v/>
      </c>
      <c r="AT91" s="41" t="str">
        <f t="shared" si="89"/>
        <v/>
      </c>
      <c r="AU91" s="42" t="str">
        <f t="shared" si="90"/>
        <v/>
      </c>
      <c r="AV91" s="40" t="str">
        <f t="shared" si="90"/>
        <v/>
      </c>
      <c r="AW91" s="41" t="str">
        <f t="shared" si="90"/>
        <v/>
      </c>
      <c r="AX91" s="41" t="str">
        <f t="shared" si="90"/>
        <v/>
      </c>
      <c r="AY91" s="41" t="str">
        <f t="shared" si="90"/>
        <v/>
      </c>
      <c r="AZ91" s="42" t="str">
        <f t="shared" si="90"/>
        <v/>
      </c>
      <c r="BA91" s="42" t="str">
        <f t="shared" si="90"/>
        <v/>
      </c>
      <c r="BB91" s="42" t="str">
        <f t="shared" si="90"/>
        <v/>
      </c>
      <c r="BC91" s="42" t="str">
        <f t="shared" si="90"/>
        <v/>
      </c>
      <c r="BD91" s="42" t="str">
        <f t="shared" si="90"/>
        <v/>
      </c>
      <c r="BE91" s="42" t="str">
        <f t="shared" si="91"/>
        <v/>
      </c>
      <c r="BF91" s="42" t="str">
        <f t="shared" si="91"/>
        <v/>
      </c>
      <c r="BG91" s="42" t="str">
        <f t="shared" si="91"/>
        <v/>
      </c>
      <c r="BH91" s="42" t="str">
        <f t="shared" si="91"/>
        <v/>
      </c>
      <c r="BI91" s="42" t="str">
        <f t="shared" si="91"/>
        <v/>
      </c>
      <c r="BJ91" s="42" t="str">
        <f t="shared" si="91"/>
        <v/>
      </c>
      <c r="BK91" s="42" t="str">
        <f t="shared" si="91"/>
        <v/>
      </c>
      <c r="BL91" s="42" t="str">
        <f t="shared" si="91"/>
        <v/>
      </c>
      <c r="BM91" s="42" t="str">
        <f t="shared" si="91"/>
        <v/>
      </c>
      <c r="BN91" s="42" t="str">
        <f t="shared" si="91"/>
        <v/>
      </c>
      <c r="BO91" s="42" t="str">
        <f t="shared" si="92"/>
        <v/>
      </c>
      <c r="BP91" s="42" t="str">
        <f t="shared" si="92"/>
        <v/>
      </c>
      <c r="BQ91" s="42" t="str">
        <f t="shared" si="92"/>
        <v/>
      </c>
      <c r="BR91" s="42" t="str">
        <f t="shared" si="92"/>
        <v/>
      </c>
      <c r="BS91" s="42" t="str">
        <f t="shared" si="92"/>
        <v/>
      </c>
      <c r="BT91" s="42" t="str">
        <f t="shared" si="92"/>
        <v/>
      </c>
      <c r="BU91" s="42" t="str">
        <f t="shared" si="92"/>
        <v/>
      </c>
      <c r="BV91" s="42" t="str">
        <f t="shared" si="92"/>
        <v/>
      </c>
      <c r="BW91" s="42" t="str">
        <f t="shared" si="92"/>
        <v/>
      </c>
      <c r="BX91" s="42" t="str">
        <f t="shared" si="92"/>
        <v/>
      </c>
      <c r="BY91" s="42" t="str">
        <f t="shared" si="93"/>
        <v/>
      </c>
      <c r="BZ91" s="42" t="str">
        <f t="shared" si="93"/>
        <v/>
      </c>
      <c r="CA91" s="42" t="str">
        <f t="shared" si="93"/>
        <v/>
      </c>
      <c r="CB91" s="42" t="str">
        <f t="shared" si="93"/>
        <v/>
      </c>
      <c r="CC91" s="42" t="str">
        <f t="shared" si="93"/>
        <v/>
      </c>
      <c r="CD91" s="42" t="str">
        <f t="shared" si="93"/>
        <v/>
      </c>
      <c r="CE91" s="42" t="str">
        <f t="shared" si="93"/>
        <v/>
      </c>
      <c r="CF91" s="42" t="str">
        <f t="shared" si="93"/>
        <v/>
      </c>
      <c r="CG91" s="42" t="str">
        <f t="shared" si="93"/>
        <v/>
      </c>
      <c r="CH91" s="42" t="str">
        <f t="shared" si="93"/>
        <v/>
      </c>
      <c r="CI91" s="42" t="str">
        <f t="shared" si="93"/>
        <v/>
      </c>
      <c r="CJ91" s="42" t="str">
        <f t="shared" si="93"/>
        <v/>
      </c>
      <c r="CK91" s="42" t="str">
        <f t="shared" si="93"/>
        <v/>
      </c>
    </row>
    <row r="92" spans="3:89" ht="18.75" customHeight="1" thickBot="1">
      <c r="C92" s="19"/>
      <c r="D92" s="9"/>
      <c r="E92" s="22"/>
      <c r="F92" s="20"/>
      <c r="G92" s="20"/>
      <c r="H92" s="20"/>
      <c r="I92" s="23"/>
      <c r="K92" s="24"/>
      <c r="L92" s="20"/>
      <c r="Q92" s="6"/>
      <c r="R92" s="11"/>
      <c r="S92" s="11"/>
      <c r="T92" s="17"/>
      <c r="U92" s="17"/>
      <c r="V92" s="17"/>
      <c r="W92" s="17"/>
      <c r="X92" s="17"/>
      <c r="Y92" s="17"/>
      <c r="Z92" s="33"/>
      <c r="AA92" s="40" t="str">
        <f t="shared" si="88"/>
        <v/>
      </c>
      <c r="AB92" s="41" t="str">
        <f t="shared" si="88"/>
        <v/>
      </c>
      <c r="AC92" s="41" t="str">
        <f t="shared" si="88"/>
        <v/>
      </c>
      <c r="AD92" s="42" t="str">
        <f t="shared" si="88"/>
        <v/>
      </c>
      <c r="AE92" s="40" t="str">
        <f t="shared" si="88"/>
        <v/>
      </c>
      <c r="AF92" s="41" t="str">
        <f t="shared" si="88"/>
        <v/>
      </c>
      <c r="AG92" s="41" t="str">
        <f t="shared" si="88"/>
        <v/>
      </c>
      <c r="AH92" s="42" t="str">
        <f t="shared" si="88"/>
        <v/>
      </c>
      <c r="AI92" s="40" t="str">
        <f t="shared" si="88"/>
        <v/>
      </c>
      <c r="AJ92" s="41" t="str">
        <f t="shared" si="88"/>
        <v/>
      </c>
      <c r="AK92" s="47" t="str">
        <f t="shared" si="89"/>
        <v/>
      </c>
      <c r="AL92" s="53" t="str">
        <f t="shared" si="89"/>
        <v/>
      </c>
      <c r="AM92" s="50" t="str">
        <f t="shared" si="89"/>
        <v/>
      </c>
      <c r="AN92" s="44" t="str">
        <f t="shared" si="89"/>
        <v/>
      </c>
      <c r="AO92" s="41" t="str">
        <f t="shared" si="89"/>
        <v/>
      </c>
      <c r="AP92" s="41" t="str">
        <f t="shared" si="89"/>
        <v/>
      </c>
      <c r="AQ92" s="42" t="str">
        <f t="shared" si="89"/>
        <v/>
      </c>
      <c r="AR92" s="40" t="str">
        <f t="shared" si="89"/>
        <v/>
      </c>
      <c r="AS92" s="41" t="str">
        <f t="shared" si="89"/>
        <v/>
      </c>
      <c r="AT92" s="41" t="str">
        <f t="shared" si="89"/>
        <v/>
      </c>
      <c r="AU92" s="42" t="str">
        <f t="shared" si="90"/>
        <v/>
      </c>
      <c r="AV92" s="40" t="str">
        <f t="shared" si="90"/>
        <v/>
      </c>
      <c r="AW92" s="41" t="str">
        <f t="shared" si="90"/>
        <v/>
      </c>
      <c r="AX92" s="41" t="str">
        <f t="shared" si="90"/>
        <v/>
      </c>
      <c r="AY92" s="41" t="str">
        <f t="shared" si="90"/>
        <v/>
      </c>
      <c r="AZ92" s="42" t="str">
        <f t="shared" si="90"/>
        <v/>
      </c>
      <c r="BA92" s="42" t="str">
        <f t="shared" si="90"/>
        <v/>
      </c>
      <c r="BB92" s="42" t="str">
        <f t="shared" si="90"/>
        <v/>
      </c>
      <c r="BC92" s="42" t="str">
        <f t="shared" si="90"/>
        <v/>
      </c>
      <c r="BD92" s="42" t="str">
        <f t="shared" si="90"/>
        <v/>
      </c>
      <c r="BE92" s="42" t="str">
        <f t="shared" si="91"/>
        <v/>
      </c>
      <c r="BF92" s="42" t="str">
        <f t="shared" si="91"/>
        <v/>
      </c>
      <c r="BG92" s="42" t="str">
        <f t="shared" si="91"/>
        <v/>
      </c>
      <c r="BH92" s="42" t="str">
        <f t="shared" si="91"/>
        <v/>
      </c>
      <c r="BI92" s="42" t="str">
        <f t="shared" si="91"/>
        <v/>
      </c>
      <c r="BJ92" s="42" t="str">
        <f t="shared" si="91"/>
        <v/>
      </c>
      <c r="BK92" s="42" t="str">
        <f t="shared" si="91"/>
        <v/>
      </c>
      <c r="BL92" s="42" t="str">
        <f t="shared" si="91"/>
        <v/>
      </c>
      <c r="BM92" s="42" t="str">
        <f t="shared" si="91"/>
        <v/>
      </c>
      <c r="BN92" s="42" t="str">
        <f t="shared" si="91"/>
        <v/>
      </c>
      <c r="BO92" s="42" t="str">
        <f t="shared" si="92"/>
        <v/>
      </c>
      <c r="BP92" s="42" t="str">
        <f t="shared" si="92"/>
        <v/>
      </c>
      <c r="BQ92" s="42" t="str">
        <f t="shared" si="92"/>
        <v/>
      </c>
      <c r="BR92" s="42" t="str">
        <f t="shared" si="92"/>
        <v/>
      </c>
      <c r="BS92" s="42" t="str">
        <f t="shared" si="92"/>
        <v/>
      </c>
      <c r="BT92" s="42" t="str">
        <f t="shared" si="92"/>
        <v/>
      </c>
      <c r="BU92" s="42" t="str">
        <f t="shared" si="92"/>
        <v/>
      </c>
      <c r="BV92" s="42" t="str">
        <f t="shared" si="92"/>
        <v/>
      </c>
      <c r="BW92" s="42" t="str">
        <f t="shared" si="92"/>
        <v/>
      </c>
      <c r="BX92" s="42" t="str">
        <f t="shared" si="92"/>
        <v/>
      </c>
      <c r="BY92" s="42" t="str">
        <f t="shared" si="93"/>
        <v/>
      </c>
      <c r="BZ92" s="42" t="str">
        <f t="shared" si="93"/>
        <v/>
      </c>
      <c r="CA92" s="42" t="str">
        <f t="shared" si="93"/>
        <v/>
      </c>
      <c r="CB92" s="42" t="str">
        <f t="shared" si="93"/>
        <v/>
      </c>
      <c r="CC92" s="42" t="str">
        <f t="shared" si="93"/>
        <v/>
      </c>
      <c r="CD92" s="42" t="str">
        <f t="shared" si="93"/>
        <v/>
      </c>
      <c r="CE92" s="42" t="str">
        <f t="shared" si="93"/>
        <v/>
      </c>
      <c r="CF92" s="42" t="str">
        <f t="shared" si="93"/>
        <v/>
      </c>
      <c r="CG92" s="42" t="str">
        <f t="shared" si="93"/>
        <v/>
      </c>
      <c r="CH92" s="42" t="str">
        <f t="shared" si="93"/>
        <v/>
      </c>
      <c r="CI92" s="42" t="str">
        <f t="shared" si="93"/>
        <v/>
      </c>
      <c r="CJ92" s="42" t="str">
        <f t="shared" si="93"/>
        <v/>
      </c>
      <c r="CK92" s="42" t="str">
        <f t="shared" si="93"/>
        <v/>
      </c>
    </row>
    <row r="93" spans="3:89" ht="18.75" customHeight="1" thickBot="1">
      <c r="C93" s="19"/>
      <c r="D93" s="9"/>
      <c r="E93" s="22"/>
      <c r="F93" s="20"/>
      <c r="G93" s="20"/>
      <c r="H93" s="20"/>
      <c r="I93" s="23"/>
      <c r="K93" s="24"/>
      <c r="L93" s="20"/>
      <c r="Q93" s="6"/>
      <c r="R93" s="11"/>
      <c r="S93" s="11"/>
      <c r="T93" s="17"/>
      <c r="U93" s="17"/>
      <c r="V93" s="17"/>
      <c r="W93" s="17"/>
      <c r="X93" s="17"/>
      <c r="Y93" s="17"/>
      <c r="Z93" s="33"/>
      <c r="AA93" s="40" t="str">
        <f t="shared" ref="AA93:AJ102" si="94">IF($A93="","",IF($B93="Milestone",IF(AND(AA$1&lt;=$R93,AA$1+7&gt;$R93),"◆",""),IF(AND(AA$1&lt;$S93,AA$1+7&gt;$R93),IF($B93="Summary","=",IF($B93="Activity",IF($Z93=TRUE,"X","O"),"")),"")))</f>
        <v/>
      </c>
      <c r="AB93" s="41" t="str">
        <f t="shared" si="94"/>
        <v/>
      </c>
      <c r="AC93" s="41" t="str">
        <f t="shared" si="94"/>
        <v/>
      </c>
      <c r="AD93" s="42" t="str">
        <f t="shared" si="94"/>
        <v/>
      </c>
      <c r="AE93" s="40" t="str">
        <f t="shared" si="94"/>
        <v/>
      </c>
      <c r="AF93" s="41" t="str">
        <f t="shared" si="94"/>
        <v/>
      </c>
      <c r="AG93" s="41" t="str">
        <f t="shared" si="94"/>
        <v/>
      </c>
      <c r="AH93" s="42" t="str">
        <f t="shared" si="94"/>
        <v/>
      </c>
      <c r="AI93" s="40" t="str">
        <f t="shared" si="94"/>
        <v/>
      </c>
      <c r="AJ93" s="41" t="str">
        <f t="shared" si="94"/>
        <v/>
      </c>
      <c r="AK93" s="47" t="str">
        <f t="shared" ref="AK93:AT102" si="95">IF($A93="","",IF($B93="Milestone",IF(AND(AK$1&lt;=$R93,AK$1+7&gt;$R93),"◆",""),IF(AND(AK$1&lt;$S93,AK$1+7&gt;$R93),IF($B93="Summary","=",IF($B93="Activity",IF($Z93=TRUE,"X","O"),"")),"")))</f>
        <v/>
      </c>
      <c r="AL93" s="53" t="str">
        <f t="shared" si="95"/>
        <v/>
      </c>
      <c r="AM93" s="50" t="str">
        <f t="shared" si="95"/>
        <v/>
      </c>
      <c r="AN93" s="44" t="str">
        <f t="shared" si="95"/>
        <v/>
      </c>
      <c r="AO93" s="41" t="str">
        <f t="shared" si="95"/>
        <v/>
      </c>
      <c r="AP93" s="41" t="str">
        <f t="shared" si="95"/>
        <v/>
      </c>
      <c r="AQ93" s="42" t="str">
        <f t="shared" si="95"/>
        <v/>
      </c>
      <c r="AR93" s="40" t="str">
        <f t="shared" si="95"/>
        <v/>
      </c>
      <c r="AS93" s="41" t="str">
        <f t="shared" si="95"/>
        <v/>
      </c>
      <c r="AT93" s="41" t="str">
        <f t="shared" si="95"/>
        <v/>
      </c>
      <c r="AU93" s="42" t="str">
        <f t="shared" ref="AU93:BD102" si="96">IF($A93="","",IF($B93="Milestone",IF(AND(AU$1&lt;=$R93,AU$1+7&gt;$R93),"◆",""),IF(AND(AU$1&lt;$S93,AU$1+7&gt;$R93),IF($B93="Summary","=",IF($B93="Activity",IF($Z93=TRUE,"X","O"),"")),"")))</f>
        <v/>
      </c>
      <c r="AV93" s="40" t="str">
        <f t="shared" si="96"/>
        <v/>
      </c>
      <c r="AW93" s="41" t="str">
        <f t="shared" si="96"/>
        <v/>
      </c>
      <c r="AX93" s="41" t="str">
        <f t="shared" si="96"/>
        <v/>
      </c>
      <c r="AY93" s="41" t="str">
        <f t="shared" si="96"/>
        <v/>
      </c>
      <c r="AZ93" s="42" t="str">
        <f t="shared" si="96"/>
        <v/>
      </c>
      <c r="BA93" s="42" t="str">
        <f t="shared" si="96"/>
        <v/>
      </c>
      <c r="BB93" s="42" t="str">
        <f t="shared" si="96"/>
        <v/>
      </c>
      <c r="BC93" s="42" t="str">
        <f t="shared" si="96"/>
        <v/>
      </c>
      <c r="BD93" s="42" t="str">
        <f t="shared" si="96"/>
        <v/>
      </c>
      <c r="BE93" s="42" t="str">
        <f t="shared" ref="BE93:BN102" si="97">IF($A93="","",IF($B93="Milestone",IF(AND(BE$1&lt;=$R93,BE$1+7&gt;$R93),"◆",""),IF(AND(BE$1&lt;$S93,BE$1+7&gt;$R93),IF($B93="Summary","=",IF($B93="Activity",IF($Z93=TRUE,"X","O"),"")),"")))</f>
        <v/>
      </c>
      <c r="BF93" s="42" t="str">
        <f t="shared" si="97"/>
        <v/>
      </c>
      <c r="BG93" s="42" t="str">
        <f t="shared" si="97"/>
        <v/>
      </c>
      <c r="BH93" s="42" t="str">
        <f t="shared" si="97"/>
        <v/>
      </c>
      <c r="BI93" s="42" t="str">
        <f t="shared" si="97"/>
        <v/>
      </c>
      <c r="BJ93" s="42" t="str">
        <f t="shared" si="97"/>
        <v/>
      </c>
      <c r="BK93" s="42" t="str">
        <f t="shared" si="97"/>
        <v/>
      </c>
      <c r="BL93" s="42" t="str">
        <f t="shared" si="97"/>
        <v/>
      </c>
      <c r="BM93" s="42" t="str">
        <f t="shared" si="97"/>
        <v/>
      </c>
      <c r="BN93" s="42" t="str">
        <f t="shared" si="97"/>
        <v/>
      </c>
      <c r="BO93" s="42" t="str">
        <f t="shared" ref="BO93:BX102" si="98">IF($A93="","",IF($B93="Milestone",IF(AND(BO$1&lt;=$R93,BO$1+7&gt;$R93),"◆",""),IF(AND(BO$1&lt;$S93,BO$1+7&gt;$R93),IF($B93="Summary","=",IF($B93="Activity",IF($Z93=TRUE,"X","O"),"")),"")))</f>
        <v/>
      </c>
      <c r="BP93" s="42" t="str">
        <f t="shared" si="98"/>
        <v/>
      </c>
      <c r="BQ93" s="42" t="str">
        <f t="shared" si="98"/>
        <v/>
      </c>
      <c r="BR93" s="42" t="str">
        <f t="shared" si="98"/>
        <v/>
      </c>
      <c r="BS93" s="42" t="str">
        <f t="shared" si="98"/>
        <v/>
      </c>
      <c r="BT93" s="42" t="str">
        <f t="shared" si="98"/>
        <v/>
      </c>
      <c r="BU93" s="42" t="str">
        <f t="shared" si="98"/>
        <v/>
      </c>
      <c r="BV93" s="42" t="str">
        <f t="shared" si="98"/>
        <v/>
      </c>
      <c r="BW93" s="42" t="str">
        <f t="shared" si="98"/>
        <v/>
      </c>
      <c r="BX93" s="42" t="str">
        <f t="shared" si="98"/>
        <v/>
      </c>
      <c r="BY93" s="42" t="str">
        <f t="shared" ref="BY93:CK102" si="99">IF($A93="","",IF($B93="Milestone",IF(AND(BY$1&lt;=$R93,BY$1+7&gt;$R93),"◆",""),IF(AND(BY$1&lt;$S93,BY$1+7&gt;$R93),IF($B93="Summary","=",IF($B93="Activity",IF($Z93=TRUE,"X","O"),"")),"")))</f>
        <v/>
      </c>
      <c r="BZ93" s="42" t="str">
        <f t="shared" si="99"/>
        <v/>
      </c>
      <c r="CA93" s="42" t="str">
        <f t="shared" si="99"/>
        <v/>
      </c>
      <c r="CB93" s="42" t="str">
        <f t="shared" si="99"/>
        <v/>
      </c>
      <c r="CC93" s="42" t="str">
        <f t="shared" si="99"/>
        <v/>
      </c>
      <c r="CD93" s="42" t="str">
        <f t="shared" si="99"/>
        <v/>
      </c>
      <c r="CE93" s="42" t="str">
        <f t="shared" si="99"/>
        <v/>
      </c>
      <c r="CF93" s="42" t="str">
        <f t="shared" si="99"/>
        <v/>
      </c>
      <c r="CG93" s="42" t="str">
        <f t="shared" si="99"/>
        <v/>
      </c>
      <c r="CH93" s="42" t="str">
        <f t="shared" si="99"/>
        <v/>
      </c>
      <c r="CI93" s="42" t="str">
        <f t="shared" si="99"/>
        <v/>
      </c>
      <c r="CJ93" s="42" t="str">
        <f t="shared" si="99"/>
        <v/>
      </c>
      <c r="CK93" s="42" t="str">
        <f t="shared" si="99"/>
        <v/>
      </c>
    </row>
    <row r="94" spans="3:89" ht="18.75" customHeight="1" thickBot="1">
      <c r="C94" s="19"/>
      <c r="D94" s="9"/>
      <c r="E94" s="22"/>
      <c r="F94" s="20"/>
      <c r="G94" s="20"/>
      <c r="H94" s="20"/>
      <c r="I94" s="23"/>
      <c r="K94" s="24"/>
      <c r="L94" s="20"/>
      <c r="Q94" s="6"/>
      <c r="R94" s="11"/>
      <c r="S94" s="11"/>
      <c r="T94" s="17"/>
      <c r="U94" s="17"/>
      <c r="V94" s="17"/>
      <c r="W94" s="17"/>
      <c r="X94" s="17"/>
      <c r="Y94" s="17"/>
      <c r="Z94" s="33"/>
      <c r="AA94" s="40" t="str">
        <f t="shared" si="94"/>
        <v/>
      </c>
      <c r="AB94" s="41" t="str">
        <f t="shared" si="94"/>
        <v/>
      </c>
      <c r="AC94" s="41" t="str">
        <f t="shared" si="94"/>
        <v/>
      </c>
      <c r="AD94" s="42" t="str">
        <f t="shared" si="94"/>
        <v/>
      </c>
      <c r="AE94" s="40" t="str">
        <f t="shared" si="94"/>
        <v/>
      </c>
      <c r="AF94" s="41" t="str">
        <f t="shared" si="94"/>
        <v/>
      </c>
      <c r="AG94" s="41" t="str">
        <f t="shared" si="94"/>
        <v/>
      </c>
      <c r="AH94" s="42" t="str">
        <f t="shared" si="94"/>
        <v/>
      </c>
      <c r="AI94" s="40" t="str">
        <f t="shared" si="94"/>
        <v/>
      </c>
      <c r="AJ94" s="41" t="str">
        <f t="shared" si="94"/>
        <v/>
      </c>
      <c r="AK94" s="47" t="str">
        <f t="shared" si="95"/>
        <v/>
      </c>
      <c r="AL94" s="53" t="str">
        <f t="shared" si="95"/>
        <v/>
      </c>
      <c r="AM94" s="50" t="str">
        <f t="shared" si="95"/>
        <v/>
      </c>
      <c r="AN94" s="44" t="str">
        <f t="shared" si="95"/>
        <v/>
      </c>
      <c r="AO94" s="41" t="str">
        <f t="shared" si="95"/>
        <v/>
      </c>
      <c r="AP94" s="41" t="str">
        <f t="shared" si="95"/>
        <v/>
      </c>
      <c r="AQ94" s="42" t="str">
        <f t="shared" si="95"/>
        <v/>
      </c>
      <c r="AR94" s="40" t="str">
        <f t="shared" si="95"/>
        <v/>
      </c>
      <c r="AS94" s="41" t="str">
        <f t="shared" si="95"/>
        <v/>
      </c>
      <c r="AT94" s="41" t="str">
        <f t="shared" si="95"/>
        <v/>
      </c>
      <c r="AU94" s="42" t="str">
        <f t="shared" si="96"/>
        <v/>
      </c>
      <c r="AV94" s="40" t="str">
        <f t="shared" si="96"/>
        <v/>
      </c>
      <c r="AW94" s="41" t="str">
        <f t="shared" si="96"/>
        <v/>
      </c>
      <c r="AX94" s="41" t="str">
        <f t="shared" si="96"/>
        <v/>
      </c>
      <c r="AY94" s="41" t="str">
        <f t="shared" si="96"/>
        <v/>
      </c>
      <c r="AZ94" s="42" t="str">
        <f t="shared" si="96"/>
        <v/>
      </c>
      <c r="BA94" s="42" t="str">
        <f t="shared" si="96"/>
        <v/>
      </c>
      <c r="BB94" s="42" t="str">
        <f t="shared" si="96"/>
        <v/>
      </c>
      <c r="BC94" s="42" t="str">
        <f t="shared" si="96"/>
        <v/>
      </c>
      <c r="BD94" s="42" t="str">
        <f t="shared" si="96"/>
        <v/>
      </c>
      <c r="BE94" s="42" t="str">
        <f t="shared" si="97"/>
        <v/>
      </c>
      <c r="BF94" s="42" t="str">
        <f t="shared" si="97"/>
        <v/>
      </c>
      <c r="BG94" s="42" t="str">
        <f t="shared" si="97"/>
        <v/>
      </c>
      <c r="BH94" s="42" t="str">
        <f t="shared" si="97"/>
        <v/>
      </c>
      <c r="BI94" s="42" t="str">
        <f t="shared" si="97"/>
        <v/>
      </c>
      <c r="BJ94" s="42" t="str">
        <f t="shared" si="97"/>
        <v/>
      </c>
      <c r="BK94" s="42" t="str">
        <f t="shared" si="97"/>
        <v/>
      </c>
      <c r="BL94" s="42" t="str">
        <f t="shared" si="97"/>
        <v/>
      </c>
      <c r="BM94" s="42" t="str">
        <f t="shared" si="97"/>
        <v/>
      </c>
      <c r="BN94" s="42" t="str">
        <f t="shared" si="97"/>
        <v/>
      </c>
      <c r="BO94" s="42" t="str">
        <f t="shared" si="98"/>
        <v/>
      </c>
      <c r="BP94" s="42" t="str">
        <f t="shared" si="98"/>
        <v/>
      </c>
      <c r="BQ94" s="42" t="str">
        <f t="shared" si="98"/>
        <v/>
      </c>
      <c r="BR94" s="42" t="str">
        <f t="shared" si="98"/>
        <v/>
      </c>
      <c r="BS94" s="42" t="str">
        <f t="shared" si="98"/>
        <v/>
      </c>
      <c r="BT94" s="42" t="str">
        <f t="shared" si="98"/>
        <v/>
      </c>
      <c r="BU94" s="42" t="str">
        <f t="shared" si="98"/>
        <v/>
      </c>
      <c r="BV94" s="42" t="str">
        <f t="shared" si="98"/>
        <v/>
      </c>
      <c r="BW94" s="42" t="str">
        <f t="shared" si="98"/>
        <v/>
      </c>
      <c r="BX94" s="42" t="str">
        <f t="shared" si="98"/>
        <v/>
      </c>
      <c r="BY94" s="42" t="str">
        <f t="shared" si="99"/>
        <v/>
      </c>
      <c r="BZ94" s="42" t="str">
        <f t="shared" si="99"/>
        <v/>
      </c>
      <c r="CA94" s="42" t="str">
        <f t="shared" si="99"/>
        <v/>
      </c>
      <c r="CB94" s="42" t="str">
        <f t="shared" si="99"/>
        <v/>
      </c>
      <c r="CC94" s="42" t="str">
        <f t="shared" si="99"/>
        <v/>
      </c>
      <c r="CD94" s="42" t="str">
        <f t="shared" si="99"/>
        <v/>
      </c>
      <c r="CE94" s="42" t="str">
        <f t="shared" si="99"/>
        <v/>
      </c>
      <c r="CF94" s="42" t="str">
        <f t="shared" si="99"/>
        <v/>
      </c>
      <c r="CG94" s="42" t="str">
        <f t="shared" si="99"/>
        <v/>
      </c>
      <c r="CH94" s="42" t="str">
        <f t="shared" si="99"/>
        <v/>
      </c>
      <c r="CI94" s="42" t="str">
        <f t="shared" si="99"/>
        <v/>
      </c>
      <c r="CJ94" s="42" t="str">
        <f t="shared" si="99"/>
        <v/>
      </c>
      <c r="CK94" s="42" t="str">
        <f t="shared" si="99"/>
        <v/>
      </c>
    </row>
    <row r="95" spans="3:89" ht="18.75" customHeight="1" thickBot="1">
      <c r="C95" s="19"/>
      <c r="D95" s="9"/>
      <c r="E95" s="22"/>
      <c r="F95" s="20"/>
      <c r="G95" s="20"/>
      <c r="H95" s="20"/>
      <c r="I95" s="23"/>
      <c r="K95" s="24"/>
      <c r="L95" s="20"/>
      <c r="Q95" s="6"/>
      <c r="R95" s="11"/>
      <c r="S95" s="11"/>
      <c r="T95" s="17"/>
      <c r="U95" s="17"/>
      <c r="V95" s="17"/>
      <c r="W95" s="17"/>
      <c r="X95" s="17"/>
      <c r="Y95" s="17"/>
      <c r="Z95" s="33"/>
      <c r="AA95" s="40" t="str">
        <f t="shared" si="94"/>
        <v/>
      </c>
      <c r="AB95" s="41" t="str">
        <f t="shared" si="94"/>
        <v/>
      </c>
      <c r="AC95" s="41" t="str">
        <f t="shared" si="94"/>
        <v/>
      </c>
      <c r="AD95" s="42" t="str">
        <f t="shared" si="94"/>
        <v/>
      </c>
      <c r="AE95" s="40" t="str">
        <f t="shared" si="94"/>
        <v/>
      </c>
      <c r="AF95" s="41" t="str">
        <f t="shared" si="94"/>
        <v/>
      </c>
      <c r="AG95" s="41" t="str">
        <f t="shared" si="94"/>
        <v/>
      </c>
      <c r="AH95" s="42" t="str">
        <f t="shared" si="94"/>
        <v/>
      </c>
      <c r="AI95" s="40" t="str">
        <f t="shared" si="94"/>
        <v/>
      </c>
      <c r="AJ95" s="41" t="str">
        <f t="shared" si="94"/>
        <v/>
      </c>
      <c r="AK95" s="47" t="str">
        <f t="shared" si="95"/>
        <v/>
      </c>
      <c r="AL95" s="53" t="str">
        <f t="shared" si="95"/>
        <v/>
      </c>
      <c r="AM95" s="50" t="str">
        <f t="shared" si="95"/>
        <v/>
      </c>
      <c r="AN95" s="44" t="str">
        <f t="shared" si="95"/>
        <v/>
      </c>
      <c r="AO95" s="41" t="str">
        <f t="shared" si="95"/>
        <v/>
      </c>
      <c r="AP95" s="41" t="str">
        <f t="shared" si="95"/>
        <v/>
      </c>
      <c r="AQ95" s="42" t="str">
        <f t="shared" si="95"/>
        <v/>
      </c>
      <c r="AR95" s="40" t="str">
        <f t="shared" si="95"/>
        <v/>
      </c>
      <c r="AS95" s="41" t="str">
        <f t="shared" si="95"/>
        <v/>
      </c>
      <c r="AT95" s="41" t="str">
        <f t="shared" si="95"/>
        <v/>
      </c>
      <c r="AU95" s="42" t="str">
        <f t="shared" si="96"/>
        <v/>
      </c>
      <c r="AV95" s="40" t="str">
        <f t="shared" si="96"/>
        <v/>
      </c>
      <c r="AW95" s="41" t="str">
        <f t="shared" si="96"/>
        <v/>
      </c>
      <c r="AX95" s="41" t="str">
        <f t="shared" si="96"/>
        <v/>
      </c>
      <c r="AY95" s="41" t="str">
        <f t="shared" si="96"/>
        <v/>
      </c>
      <c r="AZ95" s="42" t="str">
        <f t="shared" si="96"/>
        <v/>
      </c>
      <c r="BA95" s="42" t="str">
        <f t="shared" si="96"/>
        <v/>
      </c>
      <c r="BB95" s="42" t="str">
        <f t="shared" si="96"/>
        <v/>
      </c>
      <c r="BC95" s="42" t="str">
        <f t="shared" si="96"/>
        <v/>
      </c>
      <c r="BD95" s="42" t="str">
        <f t="shared" si="96"/>
        <v/>
      </c>
      <c r="BE95" s="42" t="str">
        <f t="shared" si="97"/>
        <v/>
      </c>
      <c r="BF95" s="42" t="str">
        <f t="shared" si="97"/>
        <v/>
      </c>
      <c r="BG95" s="42" t="str">
        <f t="shared" si="97"/>
        <v/>
      </c>
      <c r="BH95" s="42" t="str">
        <f t="shared" si="97"/>
        <v/>
      </c>
      <c r="BI95" s="42" t="str">
        <f t="shared" si="97"/>
        <v/>
      </c>
      <c r="BJ95" s="42" t="str">
        <f t="shared" si="97"/>
        <v/>
      </c>
      <c r="BK95" s="42" t="str">
        <f t="shared" si="97"/>
        <v/>
      </c>
      <c r="BL95" s="42" t="str">
        <f t="shared" si="97"/>
        <v/>
      </c>
      <c r="BM95" s="42" t="str">
        <f t="shared" si="97"/>
        <v/>
      </c>
      <c r="BN95" s="42" t="str">
        <f t="shared" si="97"/>
        <v/>
      </c>
      <c r="BO95" s="42" t="str">
        <f t="shared" si="98"/>
        <v/>
      </c>
      <c r="BP95" s="42" t="str">
        <f t="shared" si="98"/>
        <v/>
      </c>
      <c r="BQ95" s="42" t="str">
        <f t="shared" si="98"/>
        <v/>
      </c>
      <c r="BR95" s="42" t="str">
        <f t="shared" si="98"/>
        <v/>
      </c>
      <c r="BS95" s="42" t="str">
        <f t="shared" si="98"/>
        <v/>
      </c>
      <c r="BT95" s="42" t="str">
        <f t="shared" si="98"/>
        <v/>
      </c>
      <c r="BU95" s="42" t="str">
        <f t="shared" si="98"/>
        <v/>
      </c>
      <c r="BV95" s="42" t="str">
        <f t="shared" si="98"/>
        <v/>
      </c>
      <c r="BW95" s="42" t="str">
        <f t="shared" si="98"/>
        <v/>
      </c>
      <c r="BX95" s="42" t="str">
        <f t="shared" si="98"/>
        <v/>
      </c>
      <c r="BY95" s="42" t="str">
        <f t="shared" si="99"/>
        <v/>
      </c>
      <c r="BZ95" s="42" t="str">
        <f t="shared" si="99"/>
        <v/>
      </c>
      <c r="CA95" s="42" t="str">
        <f t="shared" si="99"/>
        <v/>
      </c>
      <c r="CB95" s="42" t="str">
        <f t="shared" si="99"/>
        <v/>
      </c>
      <c r="CC95" s="42" t="str">
        <f t="shared" si="99"/>
        <v/>
      </c>
      <c r="CD95" s="42" t="str">
        <f t="shared" si="99"/>
        <v/>
      </c>
      <c r="CE95" s="42" t="str">
        <f t="shared" si="99"/>
        <v/>
      </c>
      <c r="CF95" s="42" t="str">
        <f t="shared" si="99"/>
        <v/>
      </c>
      <c r="CG95" s="42" t="str">
        <f t="shared" si="99"/>
        <v/>
      </c>
      <c r="CH95" s="42" t="str">
        <f t="shared" si="99"/>
        <v/>
      </c>
      <c r="CI95" s="42" t="str">
        <f t="shared" si="99"/>
        <v/>
      </c>
      <c r="CJ95" s="42" t="str">
        <f t="shared" si="99"/>
        <v/>
      </c>
      <c r="CK95" s="42" t="str">
        <f t="shared" si="99"/>
        <v/>
      </c>
    </row>
    <row r="96" spans="3:89" ht="18.75" customHeight="1" thickBot="1">
      <c r="C96" s="19"/>
      <c r="D96" s="9"/>
      <c r="E96" s="22"/>
      <c r="F96" s="20"/>
      <c r="G96" s="20"/>
      <c r="H96" s="20"/>
      <c r="I96" s="23"/>
      <c r="K96" s="24"/>
      <c r="L96" s="20"/>
      <c r="Q96" s="6"/>
      <c r="R96" s="11"/>
      <c r="S96" s="11"/>
      <c r="T96" s="17"/>
      <c r="U96" s="17"/>
      <c r="V96" s="17"/>
      <c r="W96" s="17"/>
      <c r="X96" s="17"/>
      <c r="Y96" s="17"/>
      <c r="Z96" s="33"/>
      <c r="AA96" s="40" t="str">
        <f t="shared" si="94"/>
        <v/>
      </c>
      <c r="AB96" s="41" t="str">
        <f t="shared" si="94"/>
        <v/>
      </c>
      <c r="AC96" s="41" t="str">
        <f t="shared" si="94"/>
        <v/>
      </c>
      <c r="AD96" s="42" t="str">
        <f t="shared" si="94"/>
        <v/>
      </c>
      <c r="AE96" s="40" t="str">
        <f t="shared" si="94"/>
        <v/>
      </c>
      <c r="AF96" s="41" t="str">
        <f t="shared" si="94"/>
        <v/>
      </c>
      <c r="AG96" s="41" t="str">
        <f t="shared" si="94"/>
        <v/>
      </c>
      <c r="AH96" s="42" t="str">
        <f t="shared" si="94"/>
        <v/>
      </c>
      <c r="AI96" s="40" t="str">
        <f t="shared" si="94"/>
        <v/>
      </c>
      <c r="AJ96" s="41" t="str">
        <f t="shared" si="94"/>
        <v/>
      </c>
      <c r="AK96" s="47" t="str">
        <f t="shared" si="95"/>
        <v/>
      </c>
      <c r="AL96" s="53" t="str">
        <f t="shared" si="95"/>
        <v/>
      </c>
      <c r="AM96" s="50" t="str">
        <f t="shared" si="95"/>
        <v/>
      </c>
      <c r="AN96" s="44" t="str">
        <f t="shared" si="95"/>
        <v/>
      </c>
      <c r="AO96" s="41" t="str">
        <f t="shared" si="95"/>
        <v/>
      </c>
      <c r="AP96" s="41" t="str">
        <f t="shared" si="95"/>
        <v/>
      </c>
      <c r="AQ96" s="42" t="str">
        <f t="shared" si="95"/>
        <v/>
      </c>
      <c r="AR96" s="40" t="str">
        <f t="shared" si="95"/>
        <v/>
      </c>
      <c r="AS96" s="41" t="str">
        <f t="shared" si="95"/>
        <v/>
      </c>
      <c r="AT96" s="41" t="str">
        <f t="shared" si="95"/>
        <v/>
      </c>
      <c r="AU96" s="42" t="str">
        <f t="shared" si="96"/>
        <v/>
      </c>
      <c r="AV96" s="40" t="str">
        <f t="shared" si="96"/>
        <v/>
      </c>
      <c r="AW96" s="41" t="str">
        <f t="shared" si="96"/>
        <v/>
      </c>
      <c r="AX96" s="41" t="str">
        <f t="shared" si="96"/>
        <v/>
      </c>
      <c r="AY96" s="41" t="str">
        <f t="shared" si="96"/>
        <v/>
      </c>
      <c r="AZ96" s="42" t="str">
        <f t="shared" si="96"/>
        <v/>
      </c>
      <c r="BA96" s="42" t="str">
        <f t="shared" si="96"/>
        <v/>
      </c>
      <c r="BB96" s="42" t="str">
        <f t="shared" si="96"/>
        <v/>
      </c>
      <c r="BC96" s="42" t="str">
        <f t="shared" si="96"/>
        <v/>
      </c>
      <c r="BD96" s="42" t="str">
        <f t="shared" si="96"/>
        <v/>
      </c>
      <c r="BE96" s="42" t="str">
        <f t="shared" si="97"/>
        <v/>
      </c>
      <c r="BF96" s="42" t="str">
        <f t="shared" si="97"/>
        <v/>
      </c>
      <c r="BG96" s="42" t="str">
        <f t="shared" si="97"/>
        <v/>
      </c>
      <c r="BH96" s="42" t="str">
        <f t="shared" si="97"/>
        <v/>
      </c>
      <c r="BI96" s="42" t="str">
        <f t="shared" si="97"/>
        <v/>
      </c>
      <c r="BJ96" s="42" t="str">
        <f t="shared" si="97"/>
        <v/>
      </c>
      <c r="BK96" s="42" t="str">
        <f t="shared" si="97"/>
        <v/>
      </c>
      <c r="BL96" s="42" t="str">
        <f t="shared" si="97"/>
        <v/>
      </c>
      <c r="BM96" s="42" t="str">
        <f t="shared" si="97"/>
        <v/>
      </c>
      <c r="BN96" s="42" t="str">
        <f t="shared" si="97"/>
        <v/>
      </c>
      <c r="BO96" s="42" t="str">
        <f t="shared" si="98"/>
        <v/>
      </c>
      <c r="BP96" s="42" t="str">
        <f t="shared" si="98"/>
        <v/>
      </c>
      <c r="BQ96" s="42" t="str">
        <f t="shared" si="98"/>
        <v/>
      </c>
      <c r="BR96" s="42" t="str">
        <f t="shared" si="98"/>
        <v/>
      </c>
      <c r="BS96" s="42" t="str">
        <f t="shared" si="98"/>
        <v/>
      </c>
      <c r="BT96" s="42" t="str">
        <f t="shared" si="98"/>
        <v/>
      </c>
      <c r="BU96" s="42" t="str">
        <f t="shared" si="98"/>
        <v/>
      </c>
      <c r="BV96" s="42" t="str">
        <f t="shared" si="98"/>
        <v/>
      </c>
      <c r="BW96" s="42" t="str">
        <f t="shared" si="98"/>
        <v/>
      </c>
      <c r="BX96" s="42" t="str">
        <f t="shared" si="98"/>
        <v/>
      </c>
      <c r="BY96" s="42" t="str">
        <f t="shared" si="99"/>
        <v/>
      </c>
      <c r="BZ96" s="42" t="str">
        <f t="shared" si="99"/>
        <v/>
      </c>
      <c r="CA96" s="42" t="str">
        <f t="shared" si="99"/>
        <v/>
      </c>
      <c r="CB96" s="42" t="str">
        <f t="shared" si="99"/>
        <v/>
      </c>
      <c r="CC96" s="42" t="str">
        <f t="shared" si="99"/>
        <v/>
      </c>
      <c r="CD96" s="42" t="str">
        <f t="shared" si="99"/>
        <v/>
      </c>
      <c r="CE96" s="42" t="str">
        <f t="shared" si="99"/>
        <v/>
      </c>
      <c r="CF96" s="42" t="str">
        <f t="shared" si="99"/>
        <v/>
      </c>
      <c r="CG96" s="42" t="str">
        <f t="shared" si="99"/>
        <v/>
      </c>
      <c r="CH96" s="42" t="str">
        <f t="shared" si="99"/>
        <v/>
      </c>
      <c r="CI96" s="42" t="str">
        <f t="shared" si="99"/>
        <v/>
      </c>
      <c r="CJ96" s="42" t="str">
        <f t="shared" si="99"/>
        <v/>
      </c>
      <c r="CK96" s="42" t="str">
        <f t="shared" si="99"/>
        <v/>
      </c>
    </row>
    <row r="97" spans="3:89" ht="18.75" customHeight="1" thickBot="1">
      <c r="C97" s="19"/>
      <c r="D97" s="9"/>
      <c r="E97" s="22"/>
      <c r="F97" s="20"/>
      <c r="G97" s="20"/>
      <c r="H97" s="20"/>
      <c r="I97" s="23"/>
      <c r="K97" s="24"/>
      <c r="L97" s="20"/>
      <c r="Q97" s="6"/>
      <c r="R97" s="11"/>
      <c r="S97" s="11"/>
      <c r="T97" s="17"/>
      <c r="U97" s="17"/>
      <c r="V97" s="17"/>
      <c r="W97" s="17"/>
      <c r="X97" s="17"/>
      <c r="Y97" s="17"/>
      <c r="Z97" s="33"/>
      <c r="AA97" s="40" t="str">
        <f t="shared" si="94"/>
        <v/>
      </c>
      <c r="AB97" s="41" t="str">
        <f t="shared" si="94"/>
        <v/>
      </c>
      <c r="AC97" s="41" t="str">
        <f t="shared" si="94"/>
        <v/>
      </c>
      <c r="AD97" s="42" t="str">
        <f t="shared" si="94"/>
        <v/>
      </c>
      <c r="AE97" s="40" t="str">
        <f t="shared" si="94"/>
        <v/>
      </c>
      <c r="AF97" s="41" t="str">
        <f t="shared" si="94"/>
        <v/>
      </c>
      <c r="AG97" s="41" t="str">
        <f t="shared" si="94"/>
        <v/>
      </c>
      <c r="AH97" s="42" t="str">
        <f t="shared" si="94"/>
        <v/>
      </c>
      <c r="AI97" s="40" t="str">
        <f t="shared" si="94"/>
        <v/>
      </c>
      <c r="AJ97" s="41" t="str">
        <f t="shared" si="94"/>
        <v/>
      </c>
      <c r="AK97" s="47" t="str">
        <f t="shared" si="95"/>
        <v/>
      </c>
      <c r="AL97" s="53" t="str">
        <f t="shared" si="95"/>
        <v/>
      </c>
      <c r="AM97" s="50" t="str">
        <f t="shared" si="95"/>
        <v/>
      </c>
      <c r="AN97" s="44" t="str">
        <f t="shared" si="95"/>
        <v/>
      </c>
      <c r="AO97" s="41" t="str">
        <f t="shared" si="95"/>
        <v/>
      </c>
      <c r="AP97" s="41" t="str">
        <f t="shared" si="95"/>
        <v/>
      </c>
      <c r="AQ97" s="42" t="str">
        <f t="shared" si="95"/>
        <v/>
      </c>
      <c r="AR97" s="40" t="str">
        <f t="shared" si="95"/>
        <v/>
      </c>
      <c r="AS97" s="41" t="str">
        <f t="shared" si="95"/>
        <v/>
      </c>
      <c r="AT97" s="41" t="str">
        <f t="shared" si="95"/>
        <v/>
      </c>
      <c r="AU97" s="42" t="str">
        <f t="shared" si="96"/>
        <v/>
      </c>
      <c r="AV97" s="40" t="str">
        <f t="shared" si="96"/>
        <v/>
      </c>
      <c r="AW97" s="41" t="str">
        <f t="shared" si="96"/>
        <v/>
      </c>
      <c r="AX97" s="41" t="str">
        <f t="shared" si="96"/>
        <v/>
      </c>
      <c r="AY97" s="41" t="str">
        <f t="shared" si="96"/>
        <v/>
      </c>
      <c r="AZ97" s="42" t="str">
        <f t="shared" si="96"/>
        <v/>
      </c>
      <c r="BA97" s="42" t="str">
        <f t="shared" si="96"/>
        <v/>
      </c>
      <c r="BB97" s="42" t="str">
        <f t="shared" si="96"/>
        <v/>
      </c>
      <c r="BC97" s="42" t="str">
        <f t="shared" si="96"/>
        <v/>
      </c>
      <c r="BD97" s="42" t="str">
        <f t="shared" si="96"/>
        <v/>
      </c>
      <c r="BE97" s="42" t="str">
        <f t="shared" si="97"/>
        <v/>
      </c>
      <c r="BF97" s="42" t="str">
        <f t="shared" si="97"/>
        <v/>
      </c>
      <c r="BG97" s="42" t="str">
        <f t="shared" si="97"/>
        <v/>
      </c>
      <c r="BH97" s="42" t="str">
        <f t="shared" si="97"/>
        <v/>
      </c>
      <c r="BI97" s="42" t="str">
        <f t="shared" si="97"/>
        <v/>
      </c>
      <c r="BJ97" s="42" t="str">
        <f t="shared" si="97"/>
        <v/>
      </c>
      <c r="BK97" s="42" t="str">
        <f t="shared" si="97"/>
        <v/>
      </c>
      <c r="BL97" s="42" t="str">
        <f t="shared" si="97"/>
        <v/>
      </c>
      <c r="BM97" s="42" t="str">
        <f t="shared" si="97"/>
        <v/>
      </c>
      <c r="BN97" s="42" t="str">
        <f t="shared" si="97"/>
        <v/>
      </c>
      <c r="BO97" s="42" t="str">
        <f t="shared" si="98"/>
        <v/>
      </c>
      <c r="BP97" s="42" t="str">
        <f t="shared" si="98"/>
        <v/>
      </c>
      <c r="BQ97" s="42" t="str">
        <f t="shared" si="98"/>
        <v/>
      </c>
      <c r="BR97" s="42" t="str">
        <f t="shared" si="98"/>
        <v/>
      </c>
      <c r="BS97" s="42" t="str">
        <f t="shared" si="98"/>
        <v/>
      </c>
      <c r="BT97" s="42" t="str">
        <f t="shared" si="98"/>
        <v/>
      </c>
      <c r="BU97" s="42" t="str">
        <f t="shared" si="98"/>
        <v/>
      </c>
      <c r="BV97" s="42" t="str">
        <f t="shared" si="98"/>
        <v/>
      </c>
      <c r="BW97" s="42" t="str">
        <f t="shared" si="98"/>
        <v/>
      </c>
      <c r="BX97" s="42" t="str">
        <f t="shared" si="98"/>
        <v/>
      </c>
      <c r="BY97" s="42" t="str">
        <f t="shared" si="99"/>
        <v/>
      </c>
      <c r="BZ97" s="42" t="str">
        <f t="shared" si="99"/>
        <v/>
      </c>
      <c r="CA97" s="42" t="str">
        <f t="shared" si="99"/>
        <v/>
      </c>
      <c r="CB97" s="42" t="str">
        <f t="shared" si="99"/>
        <v/>
      </c>
      <c r="CC97" s="42" t="str">
        <f t="shared" si="99"/>
        <v/>
      </c>
      <c r="CD97" s="42" t="str">
        <f t="shared" si="99"/>
        <v/>
      </c>
      <c r="CE97" s="42" t="str">
        <f t="shared" si="99"/>
        <v/>
      </c>
      <c r="CF97" s="42" t="str">
        <f t="shared" si="99"/>
        <v/>
      </c>
      <c r="CG97" s="42" t="str">
        <f t="shared" si="99"/>
        <v/>
      </c>
      <c r="CH97" s="42" t="str">
        <f t="shared" si="99"/>
        <v/>
      </c>
      <c r="CI97" s="42" t="str">
        <f t="shared" si="99"/>
        <v/>
      </c>
      <c r="CJ97" s="42" t="str">
        <f t="shared" si="99"/>
        <v/>
      </c>
      <c r="CK97" s="42" t="str">
        <f t="shared" si="99"/>
        <v/>
      </c>
    </row>
    <row r="98" spans="3:89" ht="18.75" customHeight="1" thickBot="1">
      <c r="C98" s="19"/>
      <c r="D98" s="9"/>
      <c r="E98" s="22"/>
      <c r="F98" s="20"/>
      <c r="G98" s="20"/>
      <c r="H98" s="20"/>
      <c r="I98" s="23"/>
      <c r="K98" s="24"/>
      <c r="L98" s="20"/>
      <c r="Q98" s="6"/>
      <c r="R98" s="11"/>
      <c r="S98" s="11"/>
      <c r="T98" s="17"/>
      <c r="U98" s="17"/>
      <c r="V98" s="17"/>
      <c r="W98" s="17"/>
      <c r="X98" s="17"/>
      <c r="Y98" s="17"/>
      <c r="Z98" s="33"/>
      <c r="AA98" s="40" t="str">
        <f t="shared" si="94"/>
        <v/>
      </c>
      <c r="AB98" s="41" t="str">
        <f t="shared" si="94"/>
        <v/>
      </c>
      <c r="AC98" s="41" t="str">
        <f t="shared" si="94"/>
        <v/>
      </c>
      <c r="AD98" s="42" t="str">
        <f t="shared" si="94"/>
        <v/>
      </c>
      <c r="AE98" s="40" t="str">
        <f t="shared" si="94"/>
        <v/>
      </c>
      <c r="AF98" s="41" t="str">
        <f t="shared" si="94"/>
        <v/>
      </c>
      <c r="AG98" s="41" t="str">
        <f t="shared" si="94"/>
        <v/>
      </c>
      <c r="AH98" s="42" t="str">
        <f t="shared" si="94"/>
        <v/>
      </c>
      <c r="AI98" s="40" t="str">
        <f t="shared" si="94"/>
        <v/>
      </c>
      <c r="AJ98" s="41" t="str">
        <f t="shared" si="94"/>
        <v/>
      </c>
      <c r="AK98" s="47" t="str">
        <f t="shared" si="95"/>
        <v/>
      </c>
      <c r="AL98" s="53" t="str">
        <f t="shared" si="95"/>
        <v/>
      </c>
      <c r="AM98" s="50" t="str">
        <f t="shared" si="95"/>
        <v/>
      </c>
      <c r="AN98" s="44" t="str">
        <f t="shared" si="95"/>
        <v/>
      </c>
      <c r="AO98" s="41" t="str">
        <f t="shared" si="95"/>
        <v/>
      </c>
      <c r="AP98" s="41" t="str">
        <f t="shared" si="95"/>
        <v/>
      </c>
      <c r="AQ98" s="42" t="str">
        <f t="shared" si="95"/>
        <v/>
      </c>
      <c r="AR98" s="40" t="str">
        <f t="shared" si="95"/>
        <v/>
      </c>
      <c r="AS98" s="41" t="str">
        <f t="shared" si="95"/>
        <v/>
      </c>
      <c r="AT98" s="41" t="str">
        <f t="shared" si="95"/>
        <v/>
      </c>
      <c r="AU98" s="42" t="str">
        <f t="shared" si="96"/>
        <v/>
      </c>
      <c r="AV98" s="40" t="str">
        <f t="shared" si="96"/>
        <v/>
      </c>
      <c r="AW98" s="41" t="str">
        <f t="shared" si="96"/>
        <v/>
      </c>
      <c r="AX98" s="41" t="str">
        <f t="shared" si="96"/>
        <v/>
      </c>
      <c r="AY98" s="41" t="str">
        <f t="shared" si="96"/>
        <v/>
      </c>
      <c r="AZ98" s="42" t="str">
        <f t="shared" si="96"/>
        <v/>
      </c>
      <c r="BA98" s="42" t="str">
        <f t="shared" si="96"/>
        <v/>
      </c>
      <c r="BB98" s="42" t="str">
        <f t="shared" si="96"/>
        <v/>
      </c>
      <c r="BC98" s="42" t="str">
        <f t="shared" si="96"/>
        <v/>
      </c>
      <c r="BD98" s="42" t="str">
        <f t="shared" si="96"/>
        <v/>
      </c>
      <c r="BE98" s="42" t="str">
        <f t="shared" si="97"/>
        <v/>
      </c>
      <c r="BF98" s="42" t="str">
        <f t="shared" si="97"/>
        <v/>
      </c>
      <c r="BG98" s="42" t="str">
        <f t="shared" si="97"/>
        <v/>
      </c>
      <c r="BH98" s="42" t="str">
        <f t="shared" si="97"/>
        <v/>
      </c>
      <c r="BI98" s="42" t="str">
        <f t="shared" si="97"/>
        <v/>
      </c>
      <c r="BJ98" s="42" t="str">
        <f t="shared" si="97"/>
        <v/>
      </c>
      <c r="BK98" s="42" t="str">
        <f t="shared" si="97"/>
        <v/>
      </c>
      <c r="BL98" s="42" t="str">
        <f t="shared" si="97"/>
        <v/>
      </c>
      <c r="BM98" s="42" t="str">
        <f t="shared" si="97"/>
        <v/>
      </c>
      <c r="BN98" s="42" t="str">
        <f t="shared" si="97"/>
        <v/>
      </c>
      <c r="BO98" s="42" t="str">
        <f t="shared" si="98"/>
        <v/>
      </c>
      <c r="BP98" s="42" t="str">
        <f t="shared" si="98"/>
        <v/>
      </c>
      <c r="BQ98" s="42" t="str">
        <f t="shared" si="98"/>
        <v/>
      </c>
      <c r="BR98" s="42" t="str">
        <f t="shared" si="98"/>
        <v/>
      </c>
      <c r="BS98" s="42" t="str">
        <f t="shared" si="98"/>
        <v/>
      </c>
      <c r="BT98" s="42" t="str">
        <f t="shared" si="98"/>
        <v/>
      </c>
      <c r="BU98" s="42" t="str">
        <f t="shared" si="98"/>
        <v/>
      </c>
      <c r="BV98" s="42" t="str">
        <f t="shared" si="98"/>
        <v/>
      </c>
      <c r="BW98" s="42" t="str">
        <f t="shared" si="98"/>
        <v/>
      </c>
      <c r="BX98" s="42" t="str">
        <f t="shared" si="98"/>
        <v/>
      </c>
      <c r="BY98" s="42" t="str">
        <f t="shared" si="99"/>
        <v/>
      </c>
      <c r="BZ98" s="42" t="str">
        <f t="shared" si="99"/>
        <v/>
      </c>
      <c r="CA98" s="42" t="str">
        <f t="shared" si="99"/>
        <v/>
      </c>
      <c r="CB98" s="42" t="str">
        <f t="shared" si="99"/>
        <v/>
      </c>
      <c r="CC98" s="42" t="str">
        <f t="shared" si="99"/>
        <v/>
      </c>
      <c r="CD98" s="42" t="str">
        <f t="shared" si="99"/>
        <v/>
      </c>
      <c r="CE98" s="42" t="str">
        <f t="shared" si="99"/>
        <v/>
      </c>
      <c r="CF98" s="42" t="str">
        <f t="shared" si="99"/>
        <v/>
      </c>
      <c r="CG98" s="42" t="str">
        <f t="shared" si="99"/>
        <v/>
      </c>
      <c r="CH98" s="42" t="str">
        <f t="shared" si="99"/>
        <v/>
      </c>
      <c r="CI98" s="42" t="str">
        <f t="shared" si="99"/>
        <v/>
      </c>
      <c r="CJ98" s="42" t="str">
        <f t="shared" si="99"/>
        <v/>
      </c>
      <c r="CK98" s="42" t="str">
        <f t="shared" si="99"/>
        <v/>
      </c>
    </row>
    <row r="99" spans="3:89" ht="18.75" customHeight="1" thickBot="1">
      <c r="C99" s="19"/>
      <c r="D99" s="9"/>
      <c r="E99" s="22"/>
      <c r="F99" s="20"/>
      <c r="G99" s="20"/>
      <c r="H99" s="20"/>
      <c r="I99" s="23"/>
      <c r="K99" s="24"/>
      <c r="L99" s="20"/>
      <c r="Q99" s="6"/>
      <c r="R99" s="11"/>
      <c r="S99" s="11"/>
      <c r="T99" s="17"/>
      <c r="U99" s="17"/>
      <c r="V99" s="17"/>
      <c r="W99" s="17"/>
      <c r="X99" s="17"/>
      <c r="Y99" s="17"/>
      <c r="Z99" s="33"/>
      <c r="AA99" s="40" t="str">
        <f t="shared" si="94"/>
        <v/>
      </c>
      <c r="AB99" s="41" t="str">
        <f t="shared" si="94"/>
        <v/>
      </c>
      <c r="AC99" s="41" t="str">
        <f t="shared" si="94"/>
        <v/>
      </c>
      <c r="AD99" s="42" t="str">
        <f t="shared" si="94"/>
        <v/>
      </c>
      <c r="AE99" s="40" t="str">
        <f t="shared" si="94"/>
        <v/>
      </c>
      <c r="AF99" s="41" t="str">
        <f t="shared" si="94"/>
        <v/>
      </c>
      <c r="AG99" s="41" t="str">
        <f t="shared" si="94"/>
        <v/>
      </c>
      <c r="AH99" s="42" t="str">
        <f t="shared" si="94"/>
        <v/>
      </c>
      <c r="AI99" s="40" t="str">
        <f t="shared" si="94"/>
        <v/>
      </c>
      <c r="AJ99" s="41" t="str">
        <f t="shared" si="94"/>
        <v/>
      </c>
      <c r="AK99" s="47" t="str">
        <f t="shared" si="95"/>
        <v/>
      </c>
      <c r="AL99" s="53" t="str">
        <f t="shared" si="95"/>
        <v/>
      </c>
      <c r="AM99" s="50" t="str">
        <f t="shared" si="95"/>
        <v/>
      </c>
      <c r="AN99" s="44" t="str">
        <f t="shared" si="95"/>
        <v/>
      </c>
      <c r="AO99" s="41" t="str">
        <f t="shared" si="95"/>
        <v/>
      </c>
      <c r="AP99" s="41" t="str">
        <f t="shared" si="95"/>
        <v/>
      </c>
      <c r="AQ99" s="42" t="str">
        <f t="shared" si="95"/>
        <v/>
      </c>
      <c r="AR99" s="40" t="str">
        <f t="shared" si="95"/>
        <v/>
      </c>
      <c r="AS99" s="41" t="str">
        <f t="shared" si="95"/>
        <v/>
      </c>
      <c r="AT99" s="41" t="str">
        <f t="shared" si="95"/>
        <v/>
      </c>
      <c r="AU99" s="42" t="str">
        <f t="shared" si="96"/>
        <v/>
      </c>
      <c r="AV99" s="40" t="str">
        <f t="shared" si="96"/>
        <v/>
      </c>
      <c r="AW99" s="41" t="str">
        <f t="shared" si="96"/>
        <v/>
      </c>
      <c r="AX99" s="41" t="str">
        <f t="shared" si="96"/>
        <v/>
      </c>
      <c r="AY99" s="41" t="str">
        <f t="shared" si="96"/>
        <v/>
      </c>
      <c r="AZ99" s="42" t="str">
        <f t="shared" si="96"/>
        <v/>
      </c>
      <c r="BA99" s="42" t="str">
        <f t="shared" si="96"/>
        <v/>
      </c>
      <c r="BB99" s="42" t="str">
        <f t="shared" si="96"/>
        <v/>
      </c>
      <c r="BC99" s="42" t="str">
        <f t="shared" si="96"/>
        <v/>
      </c>
      <c r="BD99" s="42" t="str">
        <f t="shared" si="96"/>
        <v/>
      </c>
      <c r="BE99" s="42" t="str">
        <f t="shared" si="97"/>
        <v/>
      </c>
      <c r="BF99" s="42" t="str">
        <f t="shared" si="97"/>
        <v/>
      </c>
      <c r="BG99" s="42" t="str">
        <f t="shared" si="97"/>
        <v/>
      </c>
      <c r="BH99" s="42" t="str">
        <f t="shared" si="97"/>
        <v/>
      </c>
      <c r="BI99" s="42" t="str">
        <f t="shared" si="97"/>
        <v/>
      </c>
      <c r="BJ99" s="42" t="str">
        <f t="shared" si="97"/>
        <v/>
      </c>
      <c r="BK99" s="42" t="str">
        <f t="shared" si="97"/>
        <v/>
      </c>
      <c r="BL99" s="42" t="str">
        <f t="shared" si="97"/>
        <v/>
      </c>
      <c r="BM99" s="42" t="str">
        <f t="shared" si="97"/>
        <v/>
      </c>
      <c r="BN99" s="42" t="str">
        <f t="shared" si="97"/>
        <v/>
      </c>
      <c r="BO99" s="42" t="str">
        <f t="shared" si="98"/>
        <v/>
      </c>
      <c r="BP99" s="42" t="str">
        <f t="shared" si="98"/>
        <v/>
      </c>
      <c r="BQ99" s="42" t="str">
        <f t="shared" si="98"/>
        <v/>
      </c>
      <c r="BR99" s="42" t="str">
        <f t="shared" si="98"/>
        <v/>
      </c>
      <c r="BS99" s="42" t="str">
        <f t="shared" si="98"/>
        <v/>
      </c>
      <c r="BT99" s="42" t="str">
        <f t="shared" si="98"/>
        <v/>
      </c>
      <c r="BU99" s="42" t="str">
        <f t="shared" si="98"/>
        <v/>
      </c>
      <c r="BV99" s="42" t="str">
        <f t="shared" si="98"/>
        <v/>
      </c>
      <c r="BW99" s="42" t="str">
        <f t="shared" si="98"/>
        <v/>
      </c>
      <c r="BX99" s="42" t="str">
        <f t="shared" si="98"/>
        <v/>
      </c>
      <c r="BY99" s="42" t="str">
        <f t="shared" si="99"/>
        <v/>
      </c>
      <c r="BZ99" s="42" t="str">
        <f t="shared" si="99"/>
        <v/>
      </c>
      <c r="CA99" s="42" t="str">
        <f t="shared" si="99"/>
        <v/>
      </c>
      <c r="CB99" s="42" t="str">
        <f t="shared" si="99"/>
        <v/>
      </c>
      <c r="CC99" s="42" t="str">
        <f t="shared" si="99"/>
        <v/>
      </c>
      <c r="CD99" s="42" t="str">
        <f t="shared" si="99"/>
        <v/>
      </c>
      <c r="CE99" s="42" t="str">
        <f t="shared" si="99"/>
        <v/>
      </c>
      <c r="CF99" s="42" t="str">
        <f t="shared" si="99"/>
        <v/>
      </c>
      <c r="CG99" s="42" t="str">
        <f t="shared" si="99"/>
        <v/>
      </c>
      <c r="CH99" s="42" t="str">
        <f t="shared" si="99"/>
        <v/>
      </c>
      <c r="CI99" s="42" t="str">
        <f t="shared" si="99"/>
        <v/>
      </c>
      <c r="CJ99" s="42" t="str">
        <f t="shared" si="99"/>
        <v/>
      </c>
      <c r="CK99" s="42" t="str">
        <f t="shared" si="99"/>
        <v/>
      </c>
    </row>
    <row r="100" spans="3:89" ht="18.75" customHeight="1" thickBot="1">
      <c r="C100" s="19"/>
      <c r="D100" s="9"/>
      <c r="E100" s="22"/>
      <c r="F100" s="20"/>
      <c r="G100" s="20"/>
      <c r="H100" s="20"/>
      <c r="I100" s="23"/>
      <c r="K100" s="24"/>
      <c r="L100" s="20"/>
      <c r="Q100" s="6"/>
      <c r="R100" s="11"/>
      <c r="S100" s="11"/>
      <c r="T100" s="17"/>
      <c r="U100" s="17"/>
      <c r="V100" s="17"/>
      <c r="W100" s="17"/>
      <c r="X100" s="17"/>
      <c r="Y100" s="17"/>
      <c r="Z100" s="33"/>
      <c r="AA100" s="40" t="str">
        <f t="shared" si="94"/>
        <v/>
      </c>
      <c r="AB100" s="41" t="str">
        <f t="shared" si="94"/>
        <v/>
      </c>
      <c r="AC100" s="41" t="str">
        <f t="shared" si="94"/>
        <v/>
      </c>
      <c r="AD100" s="42" t="str">
        <f t="shared" si="94"/>
        <v/>
      </c>
      <c r="AE100" s="40" t="str">
        <f t="shared" si="94"/>
        <v/>
      </c>
      <c r="AF100" s="41" t="str">
        <f t="shared" si="94"/>
        <v/>
      </c>
      <c r="AG100" s="41" t="str">
        <f t="shared" si="94"/>
        <v/>
      </c>
      <c r="AH100" s="42" t="str">
        <f t="shared" si="94"/>
        <v/>
      </c>
      <c r="AI100" s="40" t="str">
        <f t="shared" si="94"/>
        <v/>
      </c>
      <c r="AJ100" s="41" t="str">
        <f t="shared" si="94"/>
        <v/>
      </c>
      <c r="AK100" s="47" t="str">
        <f t="shared" si="95"/>
        <v/>
      </c>
      <c r="AL100" s="53" t="str">
        <f t="shared" si="95"/>
        <v/>
      </c>
      <c r="AM100" s="50" t="str">
        <f t="shared" si="95"/>
        <v/>
      </c>
      <c r="AN100" s="44" t="str">
        <f t="shared" si="95"/>
        <v/>
      </c>
      <c r="AO100" s="41" t="str">
        <f t="shared" si="95"/>
        <v/>
      </c>
      <c r="AP100" s="41" t="str">
        <f t="shared" si="95"/>
        <v/>
      </c>
      <c r="AQ100" s="42" t="str">
        <f t="shared" si="95"/>
        <v/>
      </c>
      <c r="AR100" s="40" t="str">
        <f t="shared" si="95"/>
        <v/>
      </c>
      <c r="AS100" s="41" t="str">
        <f t="shared" si="95"/>
        <v/>
      </c>
      <c r="AT100" s="41" t="str">
        <f t="shared" si="95"/>
        <v/>
      </c>
      <c r="AU100" s="42" t="str">
        <f t="shared" si="96"/>
        <v/>
      </c>
      <c r="AV100" s="40" t="str">
        <f t="shared" si="96"/>
        <v/>
      </c>
      <c r="AW100" s="41" t="str">
        <f t="shared" si="96"/>
        <v/>
      </c>
      <c r="AX100" s="41" t="str">
        <f t="shared" si="96"/>
        <v/>
      </c>
      <c r="AY100" s="41" t="str">
        <f t="shared" si="96"/>
        <v/>
      </c>
      <c r="AZ100" s="42" t="str">
        <f t="shared" si="96"/>
        <v/>
      </c>
      <c r="BA100" s="42" t="str">
        <f t="shared" si="96"/>
        <v/>
      </c>
      <c r="BB100" s="42" t="str">
        <f t="shared" si="96"/>
        <v/>
      </c>
      <c r="BC100" s="42" t="str">
        <f t="shared" si="96"/>
        <v/>
      </c>
      <c r="BD100" s="42" t="str">
        <f t="shared" si="96"/>
        <v/>
      </c>
      <c r="BE100" s="42" t="str">
        <f t="shared" si="97"/>
        <v/>
      </c>
      <c r="BF100" s="42" t="str">
        <f t="shared" si="97"/>
        <v/>
      </c>
      <c r="BG100" s="42" t="str">
        <f t="shared" si="97"/>
        <v/>
      </c>
      <c r="BH100" s="42" t="str">
        <f t="shared" si="97"/>
        <v/>
      </c>
      <c r="BI100" s="42" t="str">
        <f t="shared" si="97"/>
        <v/>
      </c>
      <c r="BJ100" s="42" t="str">
        <f t="shared" si="97"/>
        <v/>
      </c>
      <c r="BK100" s="42" t="str">
        <f t="shared" si="97"/>
        <v/>
      </c>
      <c r="BL100" s="42" t="str">
        <f t="shared" si="97"/>
        <v/>
      </c>
      <c r="BM100" s="42" t="str">
        <f t="shared" si="97"/>
        <v/>
      </c>
      <c r="BN100" s="42" t="str">
        <f t="shared" si="97"/>
        <v/>
      </c>
      <c r="BO100" s="42" t="str">
        <f t="shared" si="98"/>
        <v/>
      </c>
      <c r="BP100" s="42" t="str">
        <f t="shared" si="98"/>
        <v/>
      </c>
      <c r="BQ100" s="42" t="str">
        <f t="shared" si="98"/>
        <v/>
      </c>
      <c r="BR100" s="42" t="str">
        <f t="shared" si="98"/>
        <v/>
      </c>
      <c r="BS100" s="42" t="str">
        <f t="shared" si="98"/>
        <v/>
      </c>
      <c r="BT100" s="42" t="str">
        <f t="shared" si="98"/>
        <v/>
      </c>
      <c r="BU100" s="42" t="str">
        <f t="shared" si="98"/>
        <v/>
      </c>
      <c r="BV100" s="42" t="str">
        <f t="shared" si="98"/>
        <v/>
      </c>
      <c r="BW100" s="42" t="str">
        <f t="shared" si="98"/>
        <v/>
      </c>
      <c r="BX100" s="42" t="str">
        <f t="shared" si="98"/>
        <v/>
      </c>
      <c r="BY100" s="42" t="str">
        <f t="shared" si="99"/>
        <v/>
      </c>
      <c r="BZ100" s="42" t="str">
        <f t="shared" si="99"/>
        <v/>
      </c>
      <c r="CA100" s="42" t="str">
        <f t="shared" si="99"/>
        <v/>
      </c>
      <c r="CB100" s="42" t="str">
        <f t="shared" si="99"/>
        <v/>
      </c>
      <c r="CC100" s="42" t="str">
        <f t="shared" si="99"/>
        <v/>
      </c>
      <c r="CD100" s="42" t="str">
        <f t="shared" si="99"/>
        <v/>
      </c>
      <c r="CE100" s="42" t="str">
        <f t="shared" si="99"/>
        <v/>
      </c>
      <c r="CF100" s="42" t="str">
        <f t="shared" si="99"/>
        <v/>
      </c>
      <c r="CG100" s="42" t="str">
        <f t="shared" si="99"/>
        <v/>
      </c>
      <c r="CH100" s="42" t="str">
        <f t="shared" si="99"/>
        <v/>
      </c>
      <c r="CI100" s="42" t="str">
        <f t="shared" si="99"/>
        <v/>
      </c>
      <c r="CJ100" s="42" t="str">
        <f t="shared" si="99"/>
        <v/>
      </c>
      <c r="CK100" s="42" t="str">
        <f t="shared" si="99"/>
        <v/>
      </c>
    </row>
    <row r="101" spans="3:89" ht="18.75" customHeight="1" thickBot="1">
      <c r="C101" s="19"/>
      <c r="D101" s="9"/>
      <c r="E101" s="22"/>
      <c r="F101" s="20"/>
      <c r="G101" s="20"/>
      <c r="H101" s="20"/>
      <c r="I101" s="23"/>
      <c r="K101" s="24"/>
      <c r="L101" s="20"/>
      <c r="Q101" s="6"/>
      <c r="R101" s="11"/>
      <c r="S101" s="11"/>
      <c r="T101" s="17"/>
      <c r="U101" s="17"/>
      <c r="V101" s="17"/>
      <c r="W101" s="17"/>
      <c r="X101" s="17"/>
      <c r="Y101" s="17"/>
      <c r="Z101" s="33"/>
      <c r="AA101" s="40" t="str">
        <f t="shared" si="94"/>
        <v/>
      </c>
      <c r="AB101" s="41" t="str">
        <f t="shared" si="94"/>
        <v/>
      </c>
      <c r="AC101" s="41" t="str">
        <f t="shared" si="94"/>
        <v/>
      </c>
      <c r="AD101" s="42" t="str">
        <f t="shared" si="94"/>
        <v/>
      </c>
      <c r="AE101" s="40" t="str">
        <f t="shared" si="94"/>
        <v/>
      </c>
      <c r="AF101" s="41" t="str">
        <f t="shared" si="94"/>
        <v/>
      </c>
      <c r="AG101" s="41" t="str">
        <f t="shared" si="94"/>
        <v/>
      </c>
      <c r="AH101" s="42" t="str">
        <f t="shared" si="94"/>
        <v/>
      </c>
      <c r="AI101" s="40" t="str">
        <f t="shared" si="94"/>
        <v/>
      </c>
      <c r="AJ101" s="41" t="str">
        <f t="shared" si="94"/>
        <v/>
      </c>
      <c r="AK101" s="47" t="str">
        <f t="shared" si="95"/>
        <v/>
      </c>
      <c r="AL101" s="53" t="str">
        <f t="shared" si="95"/>
        <v/>
      </c>
      <c r="AM101" s="50" t="str">
        <f t="shared" si="95"/>
        <v/>
      </c>
      <c r="AN101" s="44" t="str">
        <f t="shared" si="95"/>
        <v/>
      </c>
      <c r="AO101" s="41" t="str">
        <f t="shared" si="95"/>
        <v/>
      </c>
      <c r="AP101" s="41" t="str">
        <f t="shared" si="95"/>
        <v/>
      </c>
      <c r="AQ101" s="42" t="str">
        <f t="shared" si="95"/>
        <v/>
      </c>
      <c r="AR101" s="40" t="str">
        <f t="shared" si="95"/>
        <v/>
      </c>
      <c r="AS101" s="41" t="str">
        <f t="shared" si="95"/>
        <v/>
      </c>
      <c r="AT101" s="41" t="str">
        <f t="shared" si="95"/>
        <v/>
      </c>
      <c r="AU101" s="42" t="str">
        <f t="shared" si="96"/>
        <v/>
      </c>
      <c r="AV101" s="40" t="str">
        <f t="shared" si="96"/>
        <v/>
      </c>
      <c r="AW101" s="41" t="str">
        <f t="shared" si="96"/>
        <v/>
      </c>
      <c r="AX101" s="41" t="str">
        <f t="shared" si="96"/>
        <v/>
      </c>
      <c r="AY101" s="41" t="str">
        <f t="shared" si="96"/>
        <v/>
      </c>
      <c r="AZ101" s="42" t="str">
        <f t="shared" si="96"/>
        <v/>
      </c>
      <c r="BA101" s="42" t="str">
        <f t="shared" si="96"/>
        <v/>
      </c>
      <c r="BB101" s="42" t="str">
        <f t="shared" si="96"/>
        <v/>
      </c>
      <c r="BC101" s="42" t="str">
        <f t="shared" si="96"/>
        <v/>
      </c>
      <c r="BD101" s="42" t="str">
        <f t="shared" si="96"/>
        <v/>
      </c>
      <c r="BE101" s="42" t="str">
        <f t="shared" si="97"/>
        <v/>
      </c>
      <c r="BF101" s="42" t="str">
        <f t="shared" si="97"/>
        <v/>
      </c>
      <c r="BG101" s="42" t="str">
        <f t="shared" si="97"/>
        <v/>
      </c>
      <c r="BH101" s="42" t="str">
        <f t="shared" si="97"/>
        <v/>
      </c>
      <c r="BI101" s="42" t="str">
        <f t="shared" si="97"/>
        <v/>
      </c>
      <c r="BJ101" s="42" t="str">
        <f t="shared" si="97"/>
        <v/>
      </c>
      <c r="BK101" s="42" t="str">
        <f t="shared" si="97"/>
        <v/>
      </c>
      <c r="BL101" s="42" t="str">
        <f t="shared" si="97"/>
        <v/>
      </c>
      <c r="BM101" s="42" t="str">
        <f t="shared" si="97"/>
        <v/>
      </c>
      <c r="BN101" s="42" t="str">
        <f t="shared" si="97"/>
        <v/>
      </c>
      <c r="BO101" s="42" t="str">
        <f t="shared" si="98"/>
        <v/>
      </c>
      <c r="BP101" s="42" t="str">
        <f t="shared" si="98"/>
        <v/>
      </c>
      <c r="BQ101" s="42" t="str">
        <f t="shared" si="98"/>
        <v/>
      </c>
      <c r="BR101" s="42" t="str">
        <f t="shared" si="98"/>
        <v/>
      </c>
      <c r="BS101" s="42" t="str">
        <f t="shared" si="98"/>
        <v/>
      </c>
      <c r="BT101" s="42" t="str">
        <f t="shared" si="98"/>
        <v/>
      </c>
      <c r="BU101" s="42" t="str">
        <f t="shared" si="98"/>
        <v/>
      </c>
      <c r="BV101" s="42" t="str">
        <f t="shared" si="98"/>
        <v/>
      </c>
      <c r="BW101" s="42" t="str">
        <f t="shared" si="98"/>
        <v/>
      </c>
      <c r="BX101" s="42" t="str">
        <f t="shared" si="98"/>
        <v/>
      </c>
      <c r="BY101" s="42" t="str">
        <f t="shared" si="99"/>
        <v/>
      </c>
      <c r="BZ101" s="42" t="str">
        <f t="shared" si="99"/>
        <v/>
      </c>
      <c r="CA101" s="42" t="str">
        <f t="shared" si="99"/>
        <v/>
      </c>
      <c r="CB101" s="42" t="str">
        <f t="shared" si="99"/>
        <v/>
      </c>
      <c r="CC101" s="42" t="str">
        <f t="shared" si="99"/>
        <v/>
      </c>
      <c r="CD101" s="42" t="str">
        <f t="shared" si="99"/>
        <v/>
      </c>
      <c r="CE101" s="42" t="str">
        <f t="shared" si="99"/>
        <v/>
      </c>
      <c r="CF101" s="42" t="str">
        <f t="shared" si="99"/>
        <v/>
      </c>
      <c r="CG101" s="42" t="str">
        <f t="shared" si="99"/>
        <v/>
      </c>
      <c r="CH101" s="42" t="str">
        <f t="shared" si="99"/>
        <v/>
      </c>
      <c r="CI101" s="42" t="str">
        <f t="shared" si="99"/>
        <v/>
      </c>
      <c r="CJ101" s="42" t="str">
        <f t="shared" si="99"/>
        <v/>
      </c>
      <c r="CK101" s="42" t="str">
        <f t="shared" si="99"/>
        <v/>
      </c>
    </row>
    <row r="102" spans="3:89" ht="18.75" customHeight="1" thickBot="1">
      <c r="C102" s="19"/>
      <c r="D102" s="9"/>
      <c r="E102" s="22"/>
      <c r="F102" s="20"/>
      <c r="G102" s="20"/>
      <c r="H102" s="20"/>
      <c r="I102" s="23"/>
      <c r="K102" s="24"/>
      <c r="L102" s="20"/>
      <c r="Q102" s="6"/>
      <c r="R102" s="11"/>
      <c r="S102" s="11"/>
      <c r="T102" s="17"/>
      <c r="U102" s="17"/>
      <c r="V102" s="17"/>
      <c r="W102" s="17"/>
      <c r="X102" s="17"/>
      <c r="Y102" s="17"/>
      <c r="Z102" s="33"/>
      <c r="AA102" s="40" t="str">
        <f t="shared" si="94"/>
        <v/>
      </c>
      <c r="AB102" s="41" t="str">
        <f t="shared" si="94"/>
        <v/>
      </c>
      <c r="AC102" s="41" t="str">
        <f t="shared" si="94"/>
        <v/>
      </c>
      <c r="AD102" s="42" t="str">
        <f t="shared" si="94"/>
        <v/>
      </c>
      <c r="AE102" s="40" t="str">
        <f t="shared" si="94"/>
        <v/>
      </c>
      <c r="AF102" s="41" t="str">
        <f t="shared" si="94"/>
        <v/>
      </c>
      <c r="AG102" s="41" t="str">
        <f t="shared" si="94"/>
        <v/>
      </c>
      <c r="AH102" s="42" t="str">
        <f t="shared" si="94"/>
        <v/>
      </c>
      <c r="AI102" s="40" t="str">
        <f t="shared" si="94"/>
        <v/>
      </c>
      <c r="AJ102" s="41" t="str">
        <f t="shared" si="94"/>
        <v/>
      </c>
      <c r="AK102" s="47" t="str">
        <f t="shared" si="95"/>
        <v/>
      </c>
      <c r="AL102" s="53" t="str">
        <f t="shared" si="95"/>
        <v/>
      </c>
      <c r="AM102" s="50" t="str">
        <f t="shared" si="95"/>
        <v/>
      </c>
      <c r="AN102" s="44" t="str">
        <f t="shared" si="95"/>
        <v/>
      </c>
      <c r="AO102" s="41" t="str">
        <f t="shared" si="95"/>
        <v/>
      </c>
      <c r="AP102" s="41" t="str">
        <f t="shared" si="95"/>
        <v/>
      </c>
      <c r="AQ102" s="42" t="str">
        <f t="shared" si="95"/>
        <v/>
      </c>
      <c r="AR102" s="40" t="str">
        <f t="shared" si="95"/>
        <v/>
      </c>
      <c r="AS102" s="41" t="str">
        <f t="shared" si="95"/>
        <v/>
      </c>
      <c r="AT102" s="41" t="str">
        <f t="shared" si="95"/>
        <v/>
      </c>
      <c r="AU102" s="42" t="str">
        <f t="shared" si="96"/>
        <v/>
      </c>
      <c r="AV102" s="40" t="str">
        <f t="shared" si="96"/>
        <v/>
      </c>
      <c r="AW102" s="41" t="str">
        <f t="shared" si="96"/>
        <v/>
      </c>
      <c r="AX102" s="41" t="str">
        <f t="shared" si="96"/>
        <v/>
      </c>
      <c r="AY102" s="41" t="str">
        <f t="shared" si="96"/>
        <v/>
      </c>
      <c r="AZ102" s="42" t="str">
        <f t="shared" si="96"/>
        <v/>
      </c>
      <c r="BA102" s="42" t="str">
        <f t="shared" si="96"/>
        <v/>
      </c>
      <c r="BB102" s="42" t="str">
        <f t="shared" si="96"/>
        <v/>
      </c>
      <c r="BC102" s="42" t="str">
        <f t="shared" si="96"/>
        <v/>
      </c>
      <c r="BD102" s="42" t="str">
        <f t="shared" si="96"/>
        <v/>
      </c>
      <c r="BE102" s="42" t="str">
        <f t="shared" si="97"/>
        <v/>
      </c>
      <c r="BF102" s="42" t="str">
        <f t="shared" si="97"/>
        <v/>
      </c>
      <c r="BG102" s="42" t="str">
        <f t="shared" si="97"/>
        <v/>
      </c>
      <c r="BH102" s="42" t="str">
        <f t="shared" si="97"/>
        <v/>
      </c>
      <c r="BI102" s="42" t="str">
        <f t="shared" si="97"/>
        <v/>
      </c>
      <c r="BJ102" s="42" t="str">
        <f t="shared" si="97"/>
        <v/>
      </c>
      <c r="BK102" s="42" t="str">
        <f t="shared" si="97"/>
        <v/>
      </c>
      <c r="BL102" s="42" t="str">
        <f t="shared" si="97"/>
        <v/>
      </c>
      <c r="BM102" s="42" t="str">
        <f t="shared" si="97"/>
        <v/>
      </c>
      <c r="BN102" s="42" t="str">
        <f t="shared" si="97"/>
        <v/>
      </c>
      <c r="BO102" s="42" t="str">
        <f t="shared" si="98"/>
        <v/>
      </c>
      <c r="BP102" s="42" t="str">
        <f t="shared" si="98"/>
        <v/>
      </c>
      <c r="BQ102" s="42" t="str">
        <f t="shared" si="98"/>
        <v/>
      </c>
      <c r="BR102" s="42" t="str">
        <f t="shared" si="98"/>
        <v/>
      </c>
      <c r="BS102" s="42" t="str">
        <f t="shared" si="98"/>
        <v/>
      </c>
      <c r="BT102" s="42" t="str">
        <f t="shared" si="98"/>
        <v/>
      </c>
      <c r="BU102" s="42" t="str">
        <f t="shared" si="98"/>
        <v/>
      </c>
      <c r="BV102" s="42" t="str">
        <f t="shared" si="98"/>
        <v/>
      </c>
      <c r="BW102" s="42" t="str">
        <f t="shared" si="98"/>
        <v/>
      </c>
      <c r="BX102" s="42" t="str">
        <f t="shared" si="98"/>
        <v/>
      </c>
      <c r="BY102" s="42" t="str">
        <f t="shared" si="99"/>
        <v/>
      </c>
      <c r="BZ102" s="42" t="str">
        <f t="shared" si="99"/>
        <v/>
      </c>
      <c r="CA102" s="42" t="str">
        <f t="shared" si="99"/>
        <v/>
      </c>
      <c r="CB102" s="42" t="str">
        <f t="shared" si="99"/>
        <v/>
      </c>
      <c r="CC102" s="42" t="str">
        <f t="shared" si="99"/>
        <v/>
      </c>
      <c r="CD102" s="42" t="str">
        <f t="shared" si="99"/>
        <v/>
      </c>
      <c r="CE102" s="42" t="str">
        <f t="shared" si="99"/>
        <v/>
      </c>
      <c r="CF102" s="42" t="str">
        <f t="shared" si="99"/>
        <v/>
      </c>
      <c r="CG102" s="42" t="str">
        <f t="shared" si="99"/>
        <v/>
      </c>
      <c r="CH102" s="42" t="str">
        <f t="shared" si="99"/>
        <v/>
      </c>
      <c r="CI102" s="42" t="str">
        <f t="shared" si="99"/>
        <v/>
      </c>
      <c r="CJ102" s="42" t="str">
        <f t="shared" si="99"/>
        <v/>
      </c>
      <c r="CK102" s="42" t="str">
        <f t="shared" si="99"/>
        <v/>
      </c>
    </row>
  </sheetData>
  <mergeCells count="1">
    <mergeCell ref="A1:M1"/>
  </mergeCells>
  <phoneticPr fontId="5" type="noConversion"/>
  <conditionalFormatting sqref="A1">
    <cfRule type="expression" dxfId="3" priority="2">
      <formula>LEFT($A$1,7)="WARNING"</formula>
    </cfRule>
  </conditionalFormatting>
  <conditionalFormatting sqref="Y3:Y102">
    <cfRule type="expression" dxfId="2" priority="3">
      <formula>AND(ISNUMBER($Y3),$Y3=0)</formula>
    </cfRule>
  </conditionalFormatting>
  <conditionalFormatting sqref="Z3:Z102">
    <cfRule type="expression" dxfId="1" priority="4">
      <formula>$Z3=TRUE</formula>
    </cfRule>
  </conditionalFormatting>
  <conditionalFormatting sqref="AA3:CK102">
    <cfRule type="cellIs" dxfId="0" priority="1" operator="equal">
      <formula>"X"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BE92-6614-4C71-A853-F5C6DADF9EF4}">
  <dimension ref="A1:K2"/>
  <sheetViews>
    <sheetView zoomScale="115" zoomScaleNormal="115" workbookViewId="0"/>
  </sheetViews>
  <sheetFormatPr defaultRowHeight="14.5"/>
  <cols>
    <col min="1" max="1" width="8.7265625" style="71"/>
    <col min="2" max="2" width="70.81640625" style="73" customWidth="1"/>
    <col min="3" max="3" width="8.7265625" style="73"/>
    <col min="4" max="4" width="8.7265625" style="72"/>
    <col min="5" max="5" width="53.81640625" style="72" customWidth="1"/>
    <col min="6" max="6" width="8.7265625" style="73"/>
    <col min="7" max="7" width="8.7265625" style="71"/>
    <col min="8" max="8" width="44.08984375" style="71" customWidth="1"/>
  </cols>
  <sheetData>
    <row r="1" spans="1:11" ht="15" thickBot="1">
      <c r="A1" s="76" t="s">
        <v>187</v>
      </c>
    </row>
    <row r="2" spans="1:11" s="55" customFormat="1" ht="409" customHeight="1" thickBot="1">
      <c r="A2" s="67" t="s">
        <v>164</v>
      </c>
      <c r="B2" s="68" t="s">
        <v>165</v>
      </c>
      <c r="C2" s="71"/>
      <c r="D2" s="69" t="s">
        <v>167</v>
      </c>
      <c r="E2" s="70" t="s">
        <v>166</v>
      </c>
      <c r="F2" s="71"/>
      <c r="G2" s="67" t="s">
        <v>168</v>
      </c>
      <c r="H2" s="68" t="s">
        <v>169</v>
      </c>
      <c r="J2" t="s">
        <v>171</v>
      </c>
      <c r="K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README</vt:lpstr>
      <vt:lpstr>Planning Assumptions</vt:lpstr>
      <vt:lpstr>Workplan</vt:lpstr>
      <vt:lpstr>Python Formulas In WorkplanTab</vt:lpstr>
      <vt:lpstr>ProjectTable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Eu, Zhijing</dc:creator>
  <cp:lastModifiedBy>Zhijing Eu</cp:lastModifiedBy>
  <dcterms:created xsi:type="dcterms:W3CDTF">2026-10-09T02:47:01Z</dcterms:created>
  <dcterms:modified xsi:type="dcterms:W3CDTF">2026-10-18T16:02:10Z</dcterms:modified>
</cp:coreProperties>
</file>